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6D14968-E5A3-4E50-9369-0FF3DCE4D324}" xr6:coauthVersionLast="47" xr6:coauthVersionMax="47" xr10:uidLastSave="{00000000-0000-0000-0000-000000000000}"/>
  <bookViews>
    <workbookView xWindow="-120" yWindow="-120" windowWidth="25440" windowHeight="15540" xr2:uid="{00000000-000D-0000-FFFF-FFFF00000000}"/>
  </bookViews>
  <sheets>
    <sheet name="Apr-26" sheetId="3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37" l="1"/>
  <c r="P21" i="37"/>
  <c r="P36" i="37"/>
  <c r="P34" i="37"/>
  <c r="Q33" i="37"/>
  <c r="Q39" i="37"/>
  <c r="O40" i="37"/>
  <c r="O39" i="37"/>
  <c r="I116" i="37"/>
  <c r="J116" i="37" s="1"/>
  <c r="I115" i="37"/>
  <c r="J115" i="37" s="1"/>
  <c r="J117" i="37" s="1"/>
  <c r="I112" i="37"/>
  <c r="J112" i="37" s="1"/>
  <c r="I109" i="37"/>
  <c r="I108" i="37"/>
  <c r="J108" i="37" s="1"/>
  <c r="I105" i="37"/>
  <c r="J105" i="37" s="1"/>
  <c r="I102" i="37"/>
  <c r="J102" i="37" s="1"/>
  <c r="I101" i="37"/>
  <c r="J101" i="37" s="1"/>
  <c r="I97" i="37"/>
  <c r="J97" i="37" s="1"/>
  <c r="I96" i="37"/>
  <c r="J96" i="37" s="1"/>
  <c r="I95" i="37"/>
  <c r="J95" i="37" s="1"/>
  <c r="I94" i="37"/>
  <c r="J94" i="37" s="1"/>
  <c r="I90" i="37"/>
  <c r="J90" i="37" s="1"/>
  <c r="I89" i="37"/>
  <c r="J89" i="37" s="1"/>
  <c r="I88" i="37"/>
  <c r="J88" i="37" s="1"/>
  <c r="I87" i="37"/>
  <c r="J87" i="37" s="1"/>
  <c r="I86" i="37"/>
  <c r="J86" i="37" s="1"/>
  <c r="I85" i="37"/>
  <c r="J85" i="37" s="1"/>
  <c r="I84" i="37"/>
  <c r="J84" i="37" s="1"/>
  <c r="I83" i="37"/>
  <c r="J83" i="37" s="1"/>
  <c r="I82" i="37"/>
  <c r="J82" i="37" s="1"/>
  <c r="I81" i="37"/>
  <c r="J81" i="37" s="1"/>
  <c r="I80" i="37"/>
  <c r="J80" i="37" s="1"/>
  <c r="I79" i="37"/>
  <c r="J79" i="37" s="1"/>
  <c r="I78" i="37"/>
  <c r="I77" i="37"/>
  <c r="J77" i="37" s="1"/>
  <c r="I76" i="37"/>
  <c r="J76" i="37" s="1"/>
  <c r="I75" i="37"/>
  <c r="J75" i="37" s="1"/>
  <c r="I74" i="37"/>
  <c r="J74" i="37" s="1"/>
  <c r="I73" i="37"/>
  <c r="J73" i="37" s="1"/>
  <c r="I72" i="37"/>
  <c r="J72" i="37" s="1"/>
  <c r="I71" i="37"/>
  <c r="J71" i="37" s="1"/>
  <c r="I70" i="37"/>
  <c r="J70" i="37" s="1"/>
  <c r="I69" i="37"/>
  <c r="J69" i="37" s="1"/>
  <c r="I68" i="37"/>
  <c r="I67" i="37"/>
  <c r="J67" i="37" s="1"/>
  <c r="I66" i="37"/>
  <c r="J66" i="37" s="1"/>
  <c r="I65" i="37"/>
  <c r="J65" i="37" s="1"/>
  <c r="I64" i="37"/>
  <c r="J64" i="37" s="1"/>
  <c r="I63" i="37"/>
  <c r="J63" i="37" s="1"/>
  <c r="I62" i="37"/>
  <c r="J62" i="37" s="1"/>
  <c r="I61" i="37"/>
  <c r="J61" i="37" s="1"/>
  <c r="I60" i="37"/>
  <c r="J60" i="37" s="1"/>
  <c r="I59" i="37"/>
  <c r="J59" i="37" s="1"/>
  <c r="I58" i="37"/>
  <c r="J58" i="37" s="1"/>
  <c r="I57" i="37"/>
  <c r="J57" i="37" s="1"/>
  <c r="I56" i="37"/>
  <c r="J56" i="37" s="1"/>
  <c r="I55" i="37"/>
  <c r="J55" i="37" s="1"/>
  <c r="I54" i="37"/>
  <c r="J54" i="37" s="1"/>
  <c r="I53" i="37"/>
  <c r="J53" i="37" s="1"/>
  <c r="I52" i="37"/>
  <c r="J52" i="37" s="1"/>
  <c r="I51" i="37"/>
  <c r="J51" i="37" s="1"/>
  <c r="I50" i="37"/>
  <c r="J50" i="37" s="1"/>
  <c r="I49" i="37"/>
  <c r="J49" i="37" s="1"/>
  <c r="I48" i="37"/>
  <c r="J48" i="37" s="1"/>
  <c r="I47" i="37"/>
  <c r="J47" i="37" s="1"/>
  <c r="I46" i="37"/>
  <c r="J46" i="37" s="1"/>
  <c r="I45" i="37"/>
  <c r="J45" i="37" s="1"/>
  <c r="I44" i="37"/>
  <c r="J44" i="37" s="1"/>
  <c r="I43" i="37"/>
  <c r="J43" i="37" s="1"/>
  <c r="I42" i="37"/>
  <c r="J42" i="37" s="1"/>
  <c r="I41" i="37"/>
  <c r="J41" i="37" s="1"/>
  <c r="N41" i="37" s="1"/>
  <c r="I40" i="37"/>
  <c r="J40" i="37" s="1"/>
  <c r="N40" i="37" s="1"/>
  <c r="I39" i="37"/>
  <c r="J39" i="37" s="1"/>
  <c r="N39" i="37" s="1"/>
  <c r="I38" i="37"/>
  <c r="J38" i="37" s="1"/>
  <c r="N38" i="37" s="1"/>
  <c r="O38" i="37" s="1"/>
  <c r="I37" i="37"/>
  <c r="J37" i="37" s="1"/>
  <c r="N37" i="37" s="1"/>
  <c r="O37" i="37" s="1"/>
  <c r="J36" i="37"/>
  <c r="N36" i="37" s="1"/>
  <c r="O36" i="37" s="1"/>
  <c r="I36" i="37"/>
  <c r="I35" i="37"/>
  <c r="J35" i="37" s="1"/>
  <c r="I34" i="37"/>
  <c r="J34" i="37" s="1"/>
  <c r="I33" i="37"/>
  <c r="J33" i="37" s="1"/>
  <c r="N33" i="37" s="1"/>
  <c r="I32" i="37"/>
  <c r="J32" i="37" s="1"/>
  <c r="N32" i="37" s="1"/>
  <c r="O32" i="37" s="1"/>
  <c r="I31" i="37"/>
  <c r="J31" i="37" s="1"/>
  <c r="N31" i="37" s="1"/>
  <c r="O31" i="37" s="1"/>
  <c r="I30" i="37"/>
  <c r="J30" i="37" s="1"/>
  <c r="N30" i="37" s="1"/>
  <c r="I29" i="37"/>
  <c r="J29" i="37" s="1"/>
  <c r="I28" i="37"/>
  <c r="J28" i="37" s="1"/>
  <c r="N28" i="37" s="1"/>
  <c r="I27" i="37"/>
  <c r="J27" i="37" s="1"/>
  <c r="N27" i="37" s="1"/>
  <c r="I26" i="37"/>
  <c r="J26" i="37" s="1"/>
  <c r="I25" i="37"/>
  <c r="J25" i="37" s="1"/>
  <c r="I24" i="37"/>
  <c r="J24" i="37" s="1"/>
  <c r="I23" i="37"/>
  <c r="J23" i="37" s="1"/>
  <c r="I22" i="37"/>
  <c r="J22" i="37" s="1"/>
  <c r="I21" i="37"/>
  <c r="J21" i="37" s="1"/>
  <c r="I20" i="37"/>
  <c r="J20" i="37" s="1"/>
  <c r="I19" i="37"/>
  <c r="J19" i="37" s="1"/>
  <c r="I18" i="37"/>
  <c r="I17" i="37"/>
  <c r="J17" i="37" s="1"/>
  <c r="I16" i="37"/>
  <c r="J16" i="37" s="1"/>
  <c r="I15" i="37"/>
  <c r="J15" i="37" s="1"/>
  <c r="I14" i="37"/>
  <c r="J14" i="37" s="1"/>
  <c r="I13" i="37"/>
  <c r="J13" i="37" s="1"/>
  <c r="I12" i="37"/>
  <c r="J12" i="37" s="1"/>
  <c r="I11" i="37"/>
  <c r="J11" i="37" s="1"/>
  <c r="I10" i="37"/>
  <c r="J10" i="37" s="1"/>
  <c r="I9" i="37"/>
  <c r="J9" i="37" s="1"/>
  <c r="I8" i="37"/>
  <c r="J8" i="37" s="1"/>
  <c r="I7" i="37"/>
  <c r="J7" i="37" s="1"/>
  <c r="I6" i="37"/>
  <c r="J6" i="37" s="1"/>
  <c r="I5" i="37"/>
  <c r="J5" i="37" s="1"/>
  <c r="I4" i="37"/>
  <c r="J4" i="37" s="1"/>
  <c r="J78" i="37" l="1"/>
  <c r="J18" i="37"/>
  <c r="J68" i="37"/>
  <c r="J91" i="37"/>
  <c r="N34" i="37"/>
  <c r="O34" i="37" s="1"/>
  <c r="N43" i="37"/>
  <c r="J98" i="37"/>
  <c r="J103" i="37"/>
  <c r="M124" i="37"/>
  <c r="B127" i="37"/>
  <c r="O33" i="37" l="1"/>
  <c r="S33" i="37" s="1"/>
  <c r="O30" i="37"/>
  <c r="O27" i="37"/>
  <c r="Q27" i="37" s="1"/>
  <c r="S27" i="37" s="1"/>
  <c r="O28" i="37"/>
  <c r="L127" i="37"/>
  <c r="G127" i="37"/>
  <c r="B124" i="37"/>
  <c r="N97" i="37"/>
  <c r="S39" i="37" l="1"/>
</calcChain>
</file>

<file path=xl/sharedStrings.xml><?xml version="1.0" encoding="utf-8"?>
<sst xmlns="http://schemas.openxmlformats.org/spreadsheetml/2006/main" count="361" uniqueCount="190">
  <si>
    <t>S No</t>
  </si>
  <si>
    <t>Meter Tag</t>
  </si>
  <si>
    <t>Meter Installed Location</t>
  </si>
  <si>
    <t>Department Name</t>
  </si>
  <si>
    <t>Present Reading</t>
  </si>
  <si>
    <t>Previous Reading</t>
  </si>
  <si>
    <t>Difference</t>
  </si>
  <si>
    <t>Final Reading</t>
  </si>
  <si>
    <t>Present Reading Time</t>
  </si>
  <si>
    <t>Previous Reading Time</t>
  </si>
  <si>
    <t>KWH</t>
  </si>
  <si>
    <t>TPL-1</t>
  </si>
  <si>
    <t>LT # 1</t>
  </si>
  <si>
    <t>TPL-2</t>
  </si>
  <si>
    <t>LT # 2</t>
  </si>
  <si>
    <t>TPL-3</t>
  </si>
  <si>
    <t>TPL-4</t>
  </si>
  <si>
    <t>1 Auto Cutting &amp; 3 Cutters</t>
  </si>
  <si>
    <t>TPL-5</t>
  </si>
  <si>
    <t>LT # 3</t>
  </si>
  <si>
    <t>PT-1</t>
  </si>
  <si>
    <t>Charkha</t>
  </si>
  <si>
    <t>PP-H</t>
  </si>
  <si>
    <t>PP-UPS</t>
  </si>
  <si>
    <t>FLEXO PRINT</t>
  </si>
  <si>
    <t>SEALING PRINT</t>
  </si>
  <si>
    <t>WATER TUR 1</t>
  </si>
  <si>
    <t>Poly 70%, Factory 30%</t>
  </si>
  <si>
    <t>WATER TUR 2</t>
  </si>
  <si>
    <t>WATER TUR 3&amp;4</t>
  </si>
  <si>
    <t>RCY 80%, Factory 20%</t>
  </si>
  <si>
    <t>AJP</t>
  </si>
  <si>
    <t>HSM</t>
  </si>
  <si>
    <t>MECH WORK</t>
  </si>
  <si>
    <t>NEW COL</t>
  </si>
  <si>
    <t>Mechanical Workshop</t>
  </si>
  <si>
    <t>OLD COL</t>
  </si>
  <si>
    <t>GERKEY</t>
  </si>
  <si>
    <t>Main Office</t>
  </si>
  <si>
    <t>TOTAL CONSUMPTION</t>
  </si>
  <si>
    <t>LT-01 MAIN</t>
  </si>
  <si>
    <t>Power House</t>
  </si>
  <si>
    <t>LT-02 MAIN</t>
  </si>
  <si>
    <t>LT-03 MAIN</t>
  </si>
  <si>
    <t>HT READING</t>
  </si>
  <si>
    <t>J.ENERGY</t>
  </si>
  <si>
    <t>J. ENERGY</t>
  </si>
  <si>
    <t>J. POLY HT</t>
  </si>
  <si>
    <t>HT ROOM</t>
  </si>
  <si>
    <t>HT Difference</t>
  </si>
  <si>
    <t>DANA WASHING</t>
  </si>
  <si>
    <t>NGR HALL</t>
  </si>
  <si>
    <t>EREMA HALL</t>
  </si>
  <si>
    <t>PP SEAL</t>
  </si>
  <si>
    <t>EREMA WASHING</t>
  </si>
  <si>
    <t>PURUI</t>
  </si>
  <si>
    <t>SIDE SEALINGS</t>
  </si>
  <si>
    <t>Poly</t>
  </si>
  <si>
    <t>LD Treat</t>
  </si>
  <si>
    <t>(PP-H) - (PP SEAL) - (SIDE SEALINGS)</t>
  </si>
  <si>
    <t>(MECH WORK)- NEW COL</t>
  </si>
  <si>
    <t xml:space="preserve">POWER HOUSE </t>
  </si>
  <si>
    <t>J. Poly LT READING</t>
  </si>
  <si>
    <t>LT Total</t>
  </si>
  <si>
    <t>HT READING LESCO</t>
  </si>
  <si>
    <t xml:space="preserve">J. POLY 1 MAIN HT </t>
  </si>
  <si>
    <t>LESCO ROOM</t>
  </si>
  <si>
    <t>Tariff 1</t>
  </si>
  <si>
    <t>Tariff 2</t>
  </si>
  <si>
    <t>Total Units</t>
  </si>
  <si>
    <t>% Diff B/w J.Energy HT+ Main Wapda HT &amp; LT Total</t>
  </si>
  <si>
    <t>% Difference B/w Total I/C &amp; Total Consumption</t>
  </si>
  <si>
    <t>Comp Room 4 Acre</t>
  </si>
  <si>
    <t>CHILL 135</t>
  </si>
  <si>
    <t xml:space="preserve">NGR </t>
  </si>
  <si>
    <t>RC-A</t>
  </si>
  <si>
    <t>RC HALL</t>
  </si>
  <si>
    <t>RC-B</t>
  </si>
  <si>
    <t>RC-C</t>
  </si>
  <si>
    <t>RC-D</t>
  </si>
  <si>
    <t>RC-CHINA</t>
  </si>
  <si>
    <t>RC-AUX</t>
  </si>
  <si>
    <t>RC WASHING HALL</t>
  </si>
  <si>
    <t>PUMP</t>
  </si>
  <si>
    <t>COMP 1 (160)</t>
  </si>
  <si>
    <t>P WASHING 2</t>
  </si>
  <si>
    <t>BL 1&amp;2</t>
  </si>
  <si>
    <t>RC Washing B</t>
  </si>
  <si>
    <t>TPL HALL AUX</t>
  </si>
  <si>
    <t>AUXLIARIES</t>
  </si>
  <si>
    <t>LT# 1&amp;2</t>
  </si>
  <si>
    <t>PP</t>
  </si>
  <si>
    <t>OVEN-1</t>
  </si>
  <si>
    <t>OVEN-2</t>
  </si>
  <si>
    <t>(RC-C)-(DANA WASH)</t>
  </si>
  <si>
    <t>RC Washing C</t>
  </si>
  <si>
    <t>HD TREAT</t>
  </si>
  <si>
    <t>PP AUX</t>
  </si>
  <si>
    <t>(DANA WASHING - P WASHING 2)</t>
  </si>
  <si>
    <t>LT</t>
  </si>
  <si>
    <t>LT ROOM</t>
  </si>
  <si>
    <t>LOOMS 40</t>
  </si>
  <si>
    <t>LT # 1 (EXT)</t>
  </si>
  <si>
    <t>LOOMS 58</t>
  </si>
  <si>
    <t>LOOMS 24</t>
  </si>
  <si>
    <t>LOOMS 56</t>
  </si>
  <si>
    <t>FINISHING HALL</t>
  </si>
  <si>
    <t>LAMINATION HALL</t>
  </si>
  <si>
    <t>PT 3 HALL</t>
  </si>
  <si>
    <t>HD SEAL</t>
  </si>
  <si>
    <t xml:space="preserve">PP HALL </t>
  </si>
  <si>
    <t>PRINTING HALL</t>
  </si>
  <si>
    <t>PRINTING</t>
  </si>
  <si>
    <t>LT ROOM  4 ACRE</t>
  </si>
  <si>
    <t xml:space="preserve">LT # 1 </t>
  </si>
  <si>
    <t>LT-01 (EXT) MAIN</t>
  </si>
  <si>
    <t>AUTO CUTTING</t>
  </si>
  <si>
    <t xml:space="preserve">CHILL 2 </t>
  </si>
  <si>
    <t>CHIL 1</t>
  </si>
  <si>
    <t xml:space="preserve">CHIL 3,4 </t>
  </si>
  <si>
    <t>PT - 3 (M)</t>
  </si>
  <si>
    <t>PT 3 (M)-HD TREAT</t>
  </si>
  <si>
    <t>PT - 3 (H)</t>
  </si>
  <si>
    <t>(LD-PP AUX)</t>
  </si>
  <si>
    <t>PUMP + CHILL</t>
  </si>
  <si>
    <t>MECHANICAL</t>
  </si>
  <si>
    <t>FACTORY</t>
  </si>
  <si>
    <t>MAIN GERKEY</t>
  </si>
  <si>
    <t>CHILL ROOM 3.4</t>
  </si>
  <si>
    <t>LAM MACHINE</t>
  </si>
  <si>
    <t>CHILL 5 + PUMPS</t>
  </si>
  <si>
    <t>LAM HALL</t>
  </si>
  <si>
    <t>(LAM HALL)-(LAM MACH)-(CHILL 5)</t>
  </si>
  <si>
    <t>COMP 2 (160)</t>
  </si>
  <si>
    <t>COMP 3 (75)</t>
  </si>
  <si>
    <t>5 ACRE</t>
  </si>
  <si>
    <t>5 ACRE PARTIES</t>
  </si>
  <si>
    <t>RCY</t>
  </si>
  <si>
    <t>(CHIL 4)-( BL 1&amp;2)-(MAIN GERKEY)</t>
  </si>
  <si>
    <t>(EREMA WASHING) - (5 ACRE PARTIES)</t>
  </si>
  <si>
    <t>LINE LOSS 11%</t>
  </si>
  <si>
    <t>COMP</t>
  </si>
  <si>
    <t>G TOTAL</t>
  </si>
  <si>
    <t>DEPARTS</t>
  </si>
  <si>
    <t>DIFF</t>
  </si>
  <si>
    <t>2.5% OF COMP</t>
  </si>
  <si>
    <t>2% OF COMP</t>
  </si>
  <si>
    <t>4% OF COMP</t>
  </si>
  <si>
    <t>Poly 83.5%, Factory 16.5%</t>
  </si>
  <si>
    <t>CONTRACTOR SOHAIL &amp; MUBARAK</t>
  </si>
  <si>
    <t xml:space="preserve">J. ENERGY SIDE SOLAR </t>
  </si>
  <si>
    <t xml:space="preserve">           Jilani Poly-1 Monthly Electric Meter Reading     </t>
  </si>
  <si>
    <t>LIGHTING</t>
  </si>
  <si>
    <t>(SEALING PRINTING - PRINT AUX 2)</t>
  </si>
  <si>
    <t>PRINT AUX 1</t>
  </si>
  <si>
    <t>PRINT AUX 2</t>
  </si>
  <si>
    <t>RC-E</t>
  </si>
  <si>
    <t>Flexo</t>
  </si>
  <si>
    <t>LT ROOM 4 ACRE</t>
  </si>
  <si>
    <t>HD H1</t>
  </si>
  <si>
    <t>Lift 4 Acre</t>
  </si>
  <si>
    <t>RCY 20% HDJP 80%</t>
  </si>
  <si>
    <t xml:space="preserve"> </t>
  </si>
  <si>
    <t>COMP 4</t>
  </si>
  <si>
    <t>COMP 5</t>
  </si>
  <si>
    <t>BOPP Dryer</t>
  </si>
  <si>
    <t xml:space="preserve">B O PP Washing A </t>
  </si>
  <si>
    <t>B O PP Washing B</t>
  </si>
  <si>
    <t>Baby Plant 1</t>
  </si>
  <si>
    <t>Baby Plant 2</t>
  </si>
  <si>
    <t xml:space="preserve">J.P-1 SOLAR </t>
  </si>
  <si>
    <t>SOLAR</t>
  </si>
  <si>
    <t>HT Lesco Total</t>
  </si>
  <si>
    <t>JP-1 GENSET</t>
  </si>
  <si>
    <t>GENSET</t>
  </si>
  <si>
    <t>Difference B/W Total I/C &amp; Total Consumption</t>
  </si>
  <si>
    <t>(RC Washing B)-(OVEN 2)</t>
  </si>
  <si>
    <t>HD M3 &amp; H3</t>
  </si>
  <si>
    <t>% Difference B/w LT Total, Genset,Solar  &amp; Total Consumption</t>
  </si>
  <si>
    <t>J.Energy HT + Main HT Wapda + LT Genset+Solar</t>
  </si>
  <si>
    <t>01-04-2026 HH:MM</t>
  </si>
  <si>
    <t>J PLASTIC SIDE WAPDA</t>
  </si>
  <si>
    <t>Power House-2</t>
  </si>
  <si>
    <t>Apr (2026)</t>
  </si>
  <si>
    <t>01-05-2026 HH:MM</t>
  </si>
  <si>
    <t>CHILL 12</t>
  </si>
  <si>
    <t>NEW METER</t>
  </si>
  <si>
    <t>BOPP Crasher</t>
  </si>
  <si>
    <t>JPHD</t>
  </si>
  <si>
    <t>METER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</si>
</sst>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/mmm/yy;@"/>
    <numFmt numFmtId="165" formatCode="_(* #,##0_);_(* \(#,##0\);_(* &quot;-&quot;??_);_(@_)"/>
    <numFmt numFmtId="166" formatCode="0.0%"/>
    <numFmt numFmtId="167" formatCode="0.0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4">
    <xf numFmtId="0" fontId="0" fillId="0" borderId="0" xfId="0"/>
    <xf numFmtId="0" fontId="0" fillId="4" borderId="1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64" fontId="4" fillId="3" borderId="17" xfId="0" applyNumberFormat="1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20" fontId="0" fillId="4" borderId="3" xfId="0" applyNumberFormat="1" applyFill="1" applyBorder="1" applyAlignment="1">
      <alignment horizontal="center" vertical="center"/>
    </xf>
    <xf numFmtId="0" fontId="0" fillId="4" borderId="0" xfId="0" applyFill="1"/>
    <xf numFmtId="1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0" fontId="0" fillId="4" borderId="16" xfId="0" applyNumberForma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 wrapText="1"/>
    </xf>
    <xf numFmtId="0" fontId="0" fillId="4" borderId="16" xfId="0" applyFill="1" applyBorder="1" applyAlignment="1">
      <alignment vertical="center" wrapText="1"/>
    </xf>
    <xf numFmtId="0" fontId="0" fillId="4" borderId="16" xfId="0" applyFill="1" applyBorder="1" applyAlignment="1">
      <alignment horizontal="center" vertical="top"/>
    </xf>
    <xf numFmtId="20" fontId="0" fillId="4" borderId="16" xfId="0" applyNumberForma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  <xf numFmtId="22" fontId="0" fillId="4" borderId="0" xfId="0" applyNumberFormat="1" applyFill="1"/>
    <xf numFmtId="0" fontId="0" fillId="4" borderId="0" xfId="0" applyFill="1" applyAlignment="1">
      <alignment horizontal="center" vertical="center" wrapText="1"/>
    </xf>
    <xf numFmtId="0" fontId="0" fillId="4" borderId="8" xfId="0" applyFill="1" applyBorder="1" applyAlignment="1">
      <alignment vertical="center" wrapText="1"/>
    </xf>
    <xf numFmtId="0" fontId="0" fillId="4" borderId="8" xfId="0" applyFill="1" applyBorder="1" applyAlignment="1">
      <alignment horizontal="center" vertical="top"/>
    </xf>
    <xf numFmtId="20" fontId="0" fillId="4" borderId="8" xfId="0" applyNumberFormat="1" applyFill="1" applyBorder="1" applyAlignment="1">
      <alignment horizontal="center" vertical="center"/>
    </xf>
    <xf numFmtId="0" fontId="0" fillId="4" borderId="21" xfId="0" applyFill="1" applyBorder="1"/>
    <xf numFmtId="0" fontId="0" fillId="4" borderId="22" xfId="0" applyFill="1" applyBorder="1"/>
    <xf numFmtId="2" fontId="0" fillId="4" borderId="3" xfId="0" applyNumberFormat="1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/>
    </xf>
    <xf numFmtId="0" fontId="0" fillId="4" borderId="8" xfId="0" applyFill="1" applyBorder="1"/>
    <xf numFmtId="1" fontId="0" fillId="4" borderId="0" xfId="0" applyNumberForma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 wrapText="1"/>
    </xf>
    <xf numFmtId="0" fontId="0" fillId="4" borderId="21" xfId="0" applyFill="1" applyBorder="1" applyAlignment="1">
      <alignment vertical="center" wrapText="1"/>
    </xf>
    <xf numFmtId="20" fontId="0" fillId="4" borderId="21" xfId="0" applyNumberForma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10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165" fontId="4" fillId="4" borderId="11" xfId="1" applyNumberFormat="1" applyFont="1" applyFill="1" applyBorder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165" fontId="4" fillId="4" borderId="0" xfId="0" applyNumberFormat="1" applyFont="1" applyFill="1"/>
    <xf numFmtId="0" fontId="0" fillId="4" borderId="16" xfId="0" applyFill="1" applyBorder="1"/>
    <xf numFmtId="20" fontId="0" fillId="4" borderId="16" xfId="0" applyNumberFormat="1" applyFill="1" applyBorder="1" applyAlignment="1">
      <alignment horizontal="center"/>
    </xf>
    <xf numFmtId="0" fontId="0" fillId="4" borderId="17" xfId="0" applyFill="1" applyBorder="1"/>
    <xf numFmtId="165" fontId="0" fillId="4" borderId="0" xfId="0" applyNumberFormat="1" applyFill="1"/>
    <xf numFmtId="0" fontId="0" fillId="4" borderId="3" xfId="0" applyFill="1" applyBorder="1"/>
    <xf numFmtId="20" fontId="0" fillId="4" borderId="3" xfId="0" applyNumberFormat="1" applyFill="1" applyBorder="1" applyAlignment="1">
      <alignment horizontal="center"/>
    </xf>
    <xf numFmtId="0" fontId="0" fillId="4" borderId="5" xfId="0" applyFill="1" applyBorder="1"/>
    <xf numFmtId="20" fontId="0" fillId="4" borderId="8" xfId="0" applyNumberFormat="1" applyFill="1" applyBorder="1" applyAlignment="1">
      <alignment horizontal="center"/>
    </xf>
    <xf numFmtId="0" fontId="0" fillId="4" borderId="10" xfId="0" applyFill="1" applyBorder="1"/>
    <xf numFmtId="0" fontId="0" fillId="4" borderId="0" xfId="0" applyFill="1" applyAlignment="1">
      <alignment vertical="center" wrapText="1"/>
    </xf>
    <xf numFmtId="165" fontId="4" fillId="4" borderId="19" xfId="1" applyNumberFormat="1" applyFont="1" applyFill="1" applyBorder="1"/>
    <xf numFmtId="0" fontId="1" fillId="4" borderId="15" xfId="0" applyFont="1" applyFill="1" applyBorder="1" applyAlignment="1">
      <alignment horizontal="center" vertical="center"/>
    </xf>
    <xf numFmtId="0" fontId="4" fillId="4" borderId="0" xfId="0" applyFont="1" applyFill="1" applyAlignment="1">
      <alignment wrapText="1"/>
    </xf>
    <xf numFmtId="0" fontId="3" fillId="4" borderId="0" xfId="0" applyFont="1" applyFill="1" applyAlignment="1">
      <alignment horizontal="center"/>
    </xf>
    <xf numFmtId="165" fontId="3" fillId="4" borderId="0" xfId="1" applyNumberFormat="1" applyFont="1" applyFill="1" applyBorder="1"/>
    <xf numFmtId="0" fontId="0" fillId="4" borderId="21" xfId="0" applyFill="1" applyBorder="1" applyAlignment="1">
      <alignment horizontal="right" vertical="center"/>
    </xf>
    <xf numFmtId="165" fontId="3" fillId="4" borderId="21" xfId="1" applyNumberFormat="1" applyFont="1" applyFill="1" applyBorder="1" applyAlignment="1">
      <alignment horizontal="right" vertical="center"/>
    </xf>
    <xf numFmtId="0" fontId="1" fillId="4" borderId="22" xfId="0" applyFont="1" applyFill="1" applyBorder="1" applyAlignment="1">
      <alignment horizontal="center" vertical="center" wrapText="1"/>
    </xf>
    <xf numFmtId="165" fontId="2" fillId="4" borderId="21" xfId="1" applyNumberFormat="1" applyFont="1" applyFill="1" applyBorder="1" applyAlignment="1">
      <alignment horizontal="right" vertical="center"/>
    </xf>
    <xf numFmtId="0" fontId="4" fillId="4" borderId="0" xfId="0" applyFont="1" applyFill="1" applyAlignment="1">
      <alignment horizontal="center" wrapText="1"/>
    </xf>
    <xf numFmtId="0" fontId="0" fillId="4" borderId="23" xfId="0" applyFill="1" applyBorder="1" applyAlignment="1">
      <alignment horizontal="center"/>
    </xf>
    <xf numFmtId="0" fontId="0" fillId="4" borderId="23" xfId="0" applyFill="1" applyBorder="1"/>
    <xf numFmtId="0" fontId="4" fillId="4" borderId="17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4" fillId="4" borderId="10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165" fontId="3" fillId="4" borderId="0" xfId="1" applyNumberFormat="1" applyFont="1" applyFill="1" applyBorder="1" applyAlignment="1">
      <alignment vertical="center"/>
    </xf>
    <xf numFmtId="0" fontId="3" fillId="4" borderId="7" xfId="0" applyFont="1" applyFill="1" applyBorder="1" applyAlignment="1">
      <alignment horizontal="center"/>
    </xf>
    <xf numFmtId="165" fontId="3" fillId="4" borderId="10" xfId="1" applyNumberFormat="1" applyFont="1" applyFill="1" applyBorder="1"/>
    <xf numFmtId="2" fontId="3" fillId="4" borderId="0" xfId="0" applyNumberFormat="1" applyFont="1" applyFill="1"/>
    <xf numFmtId="166" fontId="0" fillId="4" borderId="0" xfId="2" applyNumberFormat="1" applyFont="1" applyFill="1"/>
    <xf numFmtId="43" fontId="0" fillId="4" borderId="0" xfId="0" applyNumberFormat="1" applyFill="1"/>
    <xf numFmtId="0" fontId="0" fillId="0" borderId="3" xfId="0" applyBorder="1" applyAlignment="1">
      <alignment horizontal="center" vertical="top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top"/>
    </xf>
    <xf numFmtId="20" fontId="0" fillId="4" borderId="2" xfId="0" applyNumberForma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9" fontId="0" fillId="4" borderId="35" xfId="0" applyNumberFormat="1" applyFill="1" applyBorder="1" applyAlignment="1">
      <alignment horizontal="center"/>
    </xf>
    <xf numFmtId="1" fontId="0" fillId="4" borderId="39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8" xfId="0" applyFill="1" applyBorder="1" applyAlignment="1">
      <alignment horizontal="center" vertical="top" wrapText="1"/>
    </xf>
    <xf numFmtId="0" fontId="0" fillId="4" borderId="16" xfId="0" applyFill="1" applyBorder="1" applyAlignment="1">
      <alignment horizontal="left" vertical="center" wrapText="1"/>
    </xf>
    <xf numFmtId="165" fontId="3" fillId="4" borderId="25" xfId="1" applyNumberFormat="1" applyFont="1" applyFill="1" applyBorder="1"/>
    <xf numFmtId="0" fontId="3" fillId="4" borderId="22" xfId="0" applyFont="1" applyFill="1" applyBorder="1"/>
    <xf numFmtId="0" fontId="6" fillId="4" borderId="0" xfId="0" applyFont="1" applyFill="1" applyAlignment="1">
      <alignment horizontal="center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0" fillId="4" borderId="40" xfId="0" applyNumberFormat="1" applyFill="1" applyBorder="1" applyAlignment="1">
      <alignment horizontal="center" vertical="center"/>
    </xf>
    <xf numFmtId="1" fontId="0" fillId="4" borderId="30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43" xfId="0" applyFill="1" applyBorder="1" applyAlignment="1">
      <alignment horizontal="center" vertical="center" wrapText="1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top"/>
    </xf>
    <xf numFmtId="20" fontId="0" fillId="4" borderId="6" xfId="0" applyNumberFormat="1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24" xfId="0" applyFill="1" applyBorder="1" applyAlignment="1">
      <alignment horizontal="center" vertical="center" wrapText="1"/>
    </xf>
    <xf numFmtId="0" fontId="0" fillId="4" borderId="23" xfId="0" applyFill="1" applyBorder="1" applyAlignment="1">
      <alignment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top"/>
    </xf>
    <xf numFmtId="20" fontId="0" fillId="4" borderId="2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44" xfId="0" applyFill="1" applyBorder="1" applyAlignment="1">
      <alignment horizontal="center" vertical="center" wrapText="1"/>
    </xf>
    <xf numFmtId="0" fontId="0" fillId="4" borderId="9" xfId="0" applyFill="1" applyBorder="1" applyAlignment="1">
      <alignment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top"/>
    </xf>
    <xf numFmtId="20" fontId="0" fillId="4" borderId="9" xfId="0" applyNumberForma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4" borderId="16" xfId="0" applyFill="1" applyBorder="1" applyAlignment="1">
      <alignment horizontal="right" vertical="center"/>
    </xf>
    <xf numFmtId="0" fontId="1" fillId="4" borderId="17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right"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6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10" fontId="3" fillId="4" borderId="37" xfId="2" applyNumberFormat="1" applyFont="1" applyFill="1" applyBorder="1" applyAlignment="1">
      <alignment horizontal="center"/>
    </xf>
    <xf numFmtId="10" fontId="3" fillId="4" borderId="29" xfId="2" applyNumberFormat="1" applyFont="1" applyFill="1" applyBorder="1" applyAlignment="1">
      <alignment horizontal="center"/>
    </xf>
    <xf numFmtId="10" fontId="3" fillId="4" borderId="38" xfId="2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6" fillId="5" borderId="12" xfId="0" applyFont="1" applyFill="1" applyBorder="1" applyAlignment="1">
      <alignment horizontal="left"/>
    </xf>
    <xf numFmtId="0" fontId="6" fillId="5" borderId="14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6" fillId="5" borderId="24" xfId="0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0" fillId="4" borderId="1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6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2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6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16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65" fontId="3" fillId="4" borderId="16" xfId="1" applyNumberFormat="1" applyFont="1" applyFill="1" applyBorder="1" applyAlignment="1">
      <alignment horizontal="center" vertical="center"/>
    </xf>
    <xf numFmtId="165" fontId="3" fillId="4" borderId="8" xfId="1" applyNumberFormat="1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/>
    </xf>
    <xf numFmtId="0" fontId="7" fillId="5" borderId="14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20" fontId="0" fillId="4" borderId="0" xfId="0" applyNumberFormat="1" applyFill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165" fontId="3" fillId="4" borderId="0" xfId="1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165" fontId="3" fillId="4" borderId="37" xfId="0" applyNumberFormat="1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10" fontId="3" fillId="4" borderId="7" xfId="2" applyNumberFormat="1" applyFont="1" applyFill="1" applyBorder="1" applyAlignment="1">
      <alignment horizontal="center"/>
    </xf>
    <xf numFmtId="10" fontId="3" fillId="4" borderId="10" xfId="2" applyNumberFormat="1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1" fontId="0" fillId="4" borderId="30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" fontId="0" fillId="4" borderId="40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1" fontId="0" fillId="4" borderId="31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7" fontId="0" fillId="4" borderId="28" xfId="0" applyNumberFormat="1" applyFill="1" applyBorder="1" applyAlignment="1">
      <alignment horizontal="center" vertical="center"/>
    </xf>
    <xf numFmtId="167" fontId="0" fillId="4" borderId="32" xfId="0" applyNumberFormat="1" applyFill="1" applyBorder="1" applyAlignment="1">
      <alignment horizontal="center" vertical="center"/>
    </xf>
    <xf numFmtId="167" fontId="0" fillId="4" borderId="25" xfId="0" applyNumberForma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/>
    </xf>
    <xf numFmtId="1" fontId="0" fillId="4" borderId="41" xfId="0" applyNumberFormat="1" applyFill="1" applyBorder="1" applyAlignment="1">
      <alignment horizontal="center" vertical="center"/>
    </xf>
    <xf numFmtId="20" fontId="1" fillId="4" borderId="23" xfId="0" applyNumberFormat="1" applyFont="1" applyFill="1" applyBorder="1" applyAlignment="1">
      <alignment horizontal="center" vertical="center" wrapText="1"/>
    </xf>
    <xf numFmtId="20" fontId="1" fillId="4" borderId="9" xfId="0" applyNumberFormat="1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4" borderId="34" xfId="0" applyFill="1" applyBorder="1" applyAlignment="1">
      <alignment horizontal="left" vertical="center" wrapText="1"/>
    </xf>
    <xf numFmtId="0" fontId="0" fillId="4" borderId="33" xfId="0" applyFill="1" applyBorder="1" applyAlignment="1">
      <alignment horizontal="left" vertical="center" wrapText="1"/>
    </xf>
    <xf numFmtId="0" fontId="0" fillId="4" borderId="35" xfId="0" applyFill="1" applyBorder="1" applyAlignment="1">
      <alignment horizontal="left" vertical="center" wrapText="1"/>
    </xf>
    <xf numFmtId="20" fontId="0" fillId="4" borderId="34" xfId="0" applyNumberFormat="1" applyFill="1" applyBorder="1" applyAlignment="1">
      <alignment horizontal="center" vertical="center"/>
    </xf>
    <xf numFmtId="20" fontId="0" fillId="4" borderId="33" xfId="0" applyNumberFormat="1" applyFill="1" applyBorder="1" applyAlignment="1">
      <alignment horizontal="center" vertical="center"/>
    </xf>
    <xf numFmtId="20" fontId="0" fillId="4" borderId="36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1" fontId="0" fillId="6" borderId="8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1" fontId="0" fillId="6" borderId="3" xfId="0" applyNumberFormat="1" applyFill="1" applyBorder="1" applyAlignment="1">
      <alignment horizontal="center" vertical="center"/>
    </xf>
    <xf numFmtId="1" fontId="0" fillId="6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38"/>
  <sheetViews>
    <sheetView tabSelected="1" zoomScale="80" zoomScaleNormal="80" workbookViewId="0">
      <selection activeCell="O20" sqref="O20"/>
    </sheetView>
  </sheetViews>
  <sheetFormatPr defaultRowHeight="15" x14ac:dyDescent="0.25"/>
  <cols>
    <col min="1" max="1" width="9.140625" style="6"/>
    <col min="2" max="2" width="10.5703125" style="6" bestFit="1" customWidth="1"/>
    <col min="3" max="3" width="18.7109375" style="6" bestFit="1" customWidth="1"/>
    <col min="4" max="4" width="17.28515625" style="6" customWidth="1"/>
    <col min="5" max="5" width="20.42578125" style="6" bestFit="1" customWidth="1"/>
    <col min="6" max="6" width="14.42578125" style="6" customWidth="1"/>
    <col min="7" max="7" width="17.28515625" style="6" customWidth="1"/>
    <col min="8" max="8" width="16.5703125" style="6" customWidth="1"/>
    <col min="9" max="9" width="19.28515625" style="6" customWidth="1"/>
    <col min="10" max="10" width="13.28515625" style="6" customWidth="1"/>
    <col min="11" max="11" width="13.5703125" style="6" customWidth="1"/>
    <col min="12" max="12" width="15" style="6" customWidth="1"/>
    <col min="13" max="13" width="37.5703125" style="6" customWidth="1"/>
    <col min="14" max="14" width="16.5703125" style="6" customWidth="1"/>
    <col min="15" max="15" width="11.42578125" style="6" customWidth="1"/>
    <col min="16" max="16" width="14.5703125" style="6" bestFit="1" customWidth="1"/>
    <col min="17" max="17" width="11.42578125" style="6" bestFit="1" customWidth="1"/>
    <col min="18" max="18" width="12.42578125" style="6" bestFit="1" customWidth="1"/>
    <col min="19" max="19" width="13.42578125" style="6" customWidth="1"/>
    <col min="20" max="16368" width="9.140625" style="6"/>
    <col min="16369" max="16369" width="6" style="6" customWidth="1"/>
    <col min="16370" max="16370" width="10.28515625" style="6" customWidth="1"/>
    <col min="16371" max="16371" width="12.7109375" style="6" customWidth="1"/>
    <col min="16372" max="16372" width="15.7109375" style="6" customWidth="1"/>
    <col min="16373" max="16373" width="22.5703125" style="6" customWidth="1"/>
    <col min="16374" max="16374" width="11.140625" style="6" customWidth="1"/>
    <col min="16375" max="16384" width="9.140625" style="6"/>
  </cols>
  <sheetData>
    <row r="1" spans="2:13" ht="25.5" x14ac:dyDescent="0.25">
      <c r="B1" s="190" t="s">
        <v>151</v>
      </c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3" t="s">
        <v>183</v>
      </c>
    </row>
    <row r="2" spans="2:13" ht="30" x14ac:dyDescent="0.25">
      <c r="B2" s="196" t="s">
        <v>0</v>
      </c>
      <c r="C2" s="198" t="s">
        <v>1</v>
      </c>
      <c r="D2" s="200" t="s">
        <v>99</v>
      </c>
      <c r="E2" s="192" t="s">
        <v>2</v>
      </c>
      <c r="F2" s="192" t="s">
        <v>3</v>
      </c>
      <c r="G2" s="99" t="s">
        <v>4</v>
      </c>
      <c r="H2" s="99" t="s">
        <v>5</v>
      </c>
      <c r="I2" s="101" t="s">
        <v>6</v>
      </c>
      <c r="J2" s="99" t="s">
        <v>7</v>
      </c>
      <c r="K2" s="99" t="s">
        <v>8</v>
      </c>
      <c r="L2" s="99" t="s">
        <v>9</v>
      </c>
      <c r="M2" s="194"/>
    </row>
    <row r="3" spans="2:13" ht="30.75" thickBot="1" x14ac:dyDescent="0.3">
      <c r="B3" s="197"/>
      <c r="C3" s="199"/>
      <c r="D3" s="201"/>
      <c r="E3" s="193"/>
      <c r="F3" s="193"/>
      <c r="G3" s="102" t="s">
        <v>10</v>
      </c>
      <c r="H3" s="102" t="s">
        <v>10</v>
      </c>
      <c r="I3" s="102" t="s">
        <v>10</v>
      </c>
      <c r="J3" s="102" t="s">
        <v>10</v>
      </c>
      <c r="K3" s="100" t="s">
        <v>184</v>
      </c>
      <c r="L3" s="100" t="s">
        <v>180</v>
      </c>
      <c r="M3" s="195"/>
    </row>
    <row r="4" spans="2:13" x14ac:dyDescent="0.25">
      <c r="B4" s="98">
        <v>1</v>
      </c>
      <c r="C4" s="11" t="s">
        <v>11</v>
      </c>
      <c r="D4" s="97" t="s">
        <v>12</v>
      </c>
      <c r="E4" s="97" t="s">
        <v>100</v>
      </c>
      <c r="F4" s="164" t="s">
        <v>57</v>
      </c>
      <c r="G4" s="12">
        <v>224280</v>
      </c>
      <c r="H4" s="12">
        <v>115612</v>
      </c>
      <c r="I4" s="1">
        <f t="shared" ref="I4:I71" si="0">G4-H4</f>
        <v>108668</v>
      </c>
      <c r="J4" s="1">
        <f t="shared" ref="J4:J17" si="1">(I4-0)</f>
        <v>108668</v>
      </c>
      <c r="K4" s="13">
        <v>0.375</v>
      </c>
      <c r="L4" s="9">
        <v>0.375</v>
      </c>
      <c r="M4" s="113"/>
    </row>
    <row r="5" spans="2:13" x14ac:dyDescent="0.25">
      <c r="B5" s="92">
        <v>2</v>
      </c>
      <c r="C5" s="15" t="s">
        <v>13</v>
      </c>
      <c r="D5" s="95" t="s">
        <v>14</v>
      </c>
      <c r="E5" s="95" t="s">
        <v>100</v>
      </c>
      <c r="F5" s="177"/>
      <c r="G5" s="16">
        <v>5204438</v>
      </c>
      <c r="H5" s="16">
        <v>5120978</v>
      </c>
      <c r="I5" s="105">
        <f t="shared" si="0"/>
        <v>83460</v>
      </c>
      <c r="J5" s="105">
        <f t="shared" si="1"/>
        <v>83460</v>
      </c>
      <c r="K5" s="5">
        <v>0.375</v>
      </c>
      <c r="L5" s="5">
        <v>0.375</v>
      </c>
      <c r="M5" s="17"/>
    </row>
    <row r="6" spans="2:13" x14ac:dyDescent="0.25">
      <c r="B6" s="92">
        <v>3</v>
      </c>
      <c r="C6" s="15" t="s">
        <v>15</v>
      </c>
      <c r="D6" s="95" t="s">
        <v>12</v>
      </c>
      <c r="E6" s="95" t="s">
        <v>100</v>
      </c>
      <c r="F6" s="177"/>
      <c r="G6" s="16">
        <v>7288233</v>
      </c>
      <c r="H6" s="16">
        <v>7163438</v>
      </c>
      <c r="I6" s="105">
        <f t="shared" si="0"/>
        <v>124795</v>
      </c>
      <c r="J6" s="105">
        <f t="shared" si="1"/>
        <v>124795</v>
      </c>
      <c r="K6" s="5">
        <v>0.375</v>
      </c>
      <c r="L6" s="5">
        <v>0.375</v>
      </c>
      <c r="M6" s="106"/>
    </row>
    <row r="7" spans="2:13" x14ac:dyDescent="0.25">
      <c r="B7" s="92">
        <v>4</v>
      </c>
      <c r="C7" s="15" t="s">
        <v>16</v>
      </c>
      <c r="D7" s="95" t="s">
        <v>12</v>
      </c>
      <c r="E7" s="95" t="s">
        <v>100</v>
      </c>
      <c r="F7" s="177"/>
      <c r="G7" s="16">
        <v>1418471</v>
      </c>
      <c r="H7" s="16">
        <v>1375424</v>
      </c>
      <c r="I7" s="105">
        <f t="shared" si="0"/>
        <v>43047</v>
      </c>
      <c r="J7" s="105">
        <f t="shared" si="1"/>
        <v>43047</v>
      </c>
      <c r="K7" s="5">
        <v>0.375</v>
      </c>
      <c r="L7" s="5">
        <v>0.375</v>
      </c>
      <c r="M7" s="106"/>
    </row>
    <row r="8" spans="2:13" x14ac:dyDescent="0.25">
      <c r="B8" s="92">
        <v>5</v>
      </c>
      <c r="C8" s="15" t="s">
        <v>18</v>
      </c>
      <c r="D8" s="95" t="s">
        <v>14</v>
      </c>
      <c r="E8" s="95" t="s">
        <v>100</v>
      </c>
      <c r="F8" s="177"/>
      <c r="G8" s="16">
        <v>4729187</v>
      </c>
      <c r="H8" s="16">
        <v>4637827</v>
      </c>
      <c r="I8" s="105">
        <f t="shared" si="0"/>
        <v>91360</v>
      </c>
      <c r="J8" s="105">
        <f t="shared" si="1"/>
        <v>91360</v>
      </c>
      <c r="K8" s="5">
        <v>0.375</v>
      </c>
      <c r="L8" s="5">
        <v>0.375</v>
      </c>
      <c r="M8" s="106"/>
    </row>
    <row r="9" spans="2:13" x14ac:dyDescent="0.25">
      <c r="B9" s="92">
        <v>6</v>
      </c>
      <c r="C9" s="15" t="s">
        <v>104</v>
      </c>
      <c r="D9" s="95" t="s">
        <v>102</v>
      </c>
      <c r="E9" s="95" t="s">
        <v>100</v>
      </c>
      <c r="F9" s="177"/>
      <c r="G9" s="16">
        <v>212073</v>
      </c>
      <c r="H9" s="16">
        <v>193393</v>
      </c>
      <c r="I9" s="105">
        <f t="shared" si="0"/>
        <v>18680</v>
      </c>
      <c r="J9" s="105">
        <f t="shared" si="1"/>
        <v>18680</v>
      </c>
      <c r="K9" s="5">
        <v>0.375</v>
      </c>
      <c r="L9" s="5">
        <v>0.375</v>
      </c>
      <c r="M9" s="106"/>
    </row>
    <row r="10" spans="2:13" x14ac:dyDescent="0.25">
      <c r="B10" s="92">
        <v>7</v>
      </c>
      <c r="C10" s="15" t="s">
        <v>105</v>
      </c>
      <c r="D10" s="95" t="s">
        <v>102</v>
      </c>
      <c r="E10" s="95" t="s">
        <v>100</v>
      </c>
      <c r="F10" s="177"/>
      <c r="G10" s="16">
        <v>981423</v>
      </c>
      <c r="H10" s="16">
        <v>930908</v>
      </c>
      <c r="I10" s="105">
        <f t="shared" si="0"/>
        <v>50515</v>
      </c>
      <c r="J10" s="105">
        <f t="shared" si="1"/>
        <v>50515</v>
      </c>
      <c r="K10" s="5">
        <v>0.375</v>
      </c>
      <c r="L10" s="5">
        <v>0.375</v>
      </c>
      <c r="M10" s="106"/>
    </row>
    <row r="11" spans="2:13" x14ac:dyDescent="0.25">
      <c r="B11" s="92">
        <v>8</v>
      </c>
      <c r="C11" s="15" t="s">
        <v>103</v>
      </c>
      <c r="D11" s="95" t="s">
        <v>102</v>
      </c>
      <c r="E11" s="95" t="s">
        <v>100</v>
      </c>
      <c r="F11" s="177"/>
      <c r="G11" s="16">
        <v>1194144</v>
      </c>
      <c r="H11" s="16">
        <v>1110330</v>
      </c>
      <c r="I11" s="105">
        <f t="shared" si="0"/>
        <v>83814</v>
      </c>
      <c r="J11" s="105">
        <f t="shared" si="1"/>
        <v>83814</v>
      </c>
      <c r="K11" s="5">
        <v>0.375</v>
      </c>
      <c r="L11" s="5">
        <v>0.375</v>
      </c>
      <c r="M11" s="106"/>
    </row>
    <row r="12" spans="2:13" x14ac:dyDescent="0.25">
      <c r="B12" s="92">
        <v>9</v>
      </c>
      <c r="C12" s="15" t="s">
        <v>101</v>
      </c>
      <c r="D12" s="95" t="s">
        <v>102</v>
      </c>
      <c r="E12" s="95" t="s">
        <v>100</v>
      </c>
      <c r="F12" s="177"/>
      <c r="G12" s="16">
        <v>676555</v>
      </c>
      <c r="H12" s="16">
        <v>635775</v>
      </c>
      <c r="I12" s="105">
        <f t="shared" si="0"/>
        <v>40780</v>
      </c>
      <c r="J12" s="105">
        <f t="shared" si="1"/>
        <v>40780</v>
      </c>
      <c r="K12" s="5">
        <v>0.375</v>
      </c>
      <c r="L12" s="5">
        <v>0.375</v>
      </c>
      <c r="M12" s="106"/>
    </row>
    <row r="13" spans="2:13" x14ac:dyDescent="0.25">
      <c r="B13" s="92">
        <v>10</v>
      </c>
      <c r="C13" s="15" t="s">
        <v>106</v>
      </c>
      <c r="D13" s="95" t="s">
        <v>102</v>
      </c>
      <c r="E13" s="95" t="s">
        <v>100</v>
      </c>
      <c r="F13" s="177"/>
      <c r="G13" s="16">
        <v>179119</v>
      </c>
      <c r="H13" s="16">
        <v>169916</v>
      </c>
      <c r="I13" s="105">
        <f t="shared" si="0"/>
        <v>9203</v>
      </c>
      <c r="J13" s="105">
        <f t="shared" si="1"/>
        <v>9203</v>
      </c>
      <c r="K13" s="5">
        <v>0.375</v>
      </c>
      <c r="L13" s="5">
        <v>0.375</v>
      </c>
      <c r="M13" s="106"/>
    </row>
    <row r="14" spans="2:13" x14ac:dyDescent="0.25">
      <c r="B14" s="92">
        <v>11</v>
      </c>
      <c r="C14" s="15" t="s">
        <v>116</v>
      </c>
      <c r="D14" s="95" t="s">
        <v>14</v>
      </c>
      <c r="E14" s="95" t="s">
        <v>100</v>
      </c>
      <c r="F14" s="177"/>
      <c r="G14" s="16">
        <v>460855</v>
      </c>
      <c r="H14" s="16">
        <v>430815</v>
      </c>
      <c r="I14" s="105">
        <f t="shared" si="0"/>
        <v>30040</v>
      </c>
      <c r="J14" s="105">
        <f t="shared" si="1"/>
        <v>30040</v>
      </c>
      <c r="K14" s="5">
        <v>0.375</v>
      </c>
      <c r="L14" s="5">
        <v>0.375</v>
      </c>
      <c r="M14" s="106"/>
    </row>
    <row r="15" spans="2:13" ht="30" x14ac:dyDescent="0.25">
      <c r="B15" s="92">
        <v>12</v>
      </c>
      <c r="C15" s="15" t="s">
        <v>17</v>
      </c>
      <c r="D15" s="95" t="s">
        <v>12</v>
      </c>
      <c r="E15" s="95" t="s">
        <v>100</v>
      </c>
      <c r="F15" s="177"/>
      <c r="G15" s="105">
        <v>432289</v>
      </c>
      <c r="H15" s="105">
        <v>422178</v>
      </c>
      <c r="I15" s="105">
        <f t="shared" si="0"/>
        <v>10111</v>
      </c>
      <c r="J15" s="105">
        <f t="shared" si="1"/>
        <v>10111</v>
      </c>
      <c r="K15" s="5">
        <v>0.375</v>
      </c>
      <c r="L15" s="5">
        <v>0.375</v>
      </c>
      <c r="M15" s="106"/>
    </row>
    <row r="16" spans="2:13" ht="24.75" customHeight="1" x14ac:dyDescent="0.25">
      <c r="B16" s="92">
        <v>13</v>
      </c>
      <c r="C16" s="15" t="s">
        <v>129</v>
      </c>
      <c r="D16" s="95" t="s">
        <v>12</v>
      </c>
      <c r="E16" s="95" t="s">
        <v>107</v>
      </c>
      <c r="F16" s="177"/>
      <c r="G16" s="105">
        <v>68769</v>
      </c>
      <c r="H16" s="105">
        <v>65889</v>
      </c>
      <c r="I16" s="105">
        <f t="shared" si="0"/>
        <v>2880</v>
      </c>
      <c r="J16" s="105">
        <f t="shared" si="1"/>
        <v>2880</v>
      </c>
      <c r="K16" s="5">
        <v>0.375</v>
      </c>
      <c r="L16" s="5">
        <v>0.375</v>
      </c>
      <c r="M16" s="18"/>
    </row>
    <row r="17" spans="2:19" ht="24.75" customHeight="1" x14ac:dyDescent="0.25">
      <c r="B17" s="92">
        <v>14</v>
      </c>
      <c r="C17" s="15" t="s">
        <v>130</v>
      </c>
      <c r="D17" s="95" t="s">
        <v>12</v>
      </c>
      <c r="E17" s="95" t="s">
        <v>107</v>
      </c>
      <c r="F17" s="177"/>
      <c r="G17" s="16">
        <v>39755</v>
      </c>
      <c r="H17" s="16">
        <v>38196</v>
      </c>
      <c r="I17" s="105">
        <f t="shared" si="0"/>
        <v>1559</v>
      </c>
      <c r="J17" s="105">
        <f t="shared" si="1"/>
        <v>1559</v>
      </c>
      <c r="K17" s="5">
        <v>0.375</v>
      </c>
      <c r="L17" s="5">
        <v>0.375</v>
      </c>
      <c r="M17" s="18"/>
    </row>
    <row r="18" spans="2:19" x14ac:dyDescent="0.25">
      <c r="B18" s="92">
        <v>15</v>
      </c>
      <c r="C18" s="15" t="s">
        <v>131</v>
      </c>
      <c r="D18" s="95" t="s">
        <v>12</v>
      </c>
      <c r="E18" s="95" t="s">
        <v>107</v>
      </c>
      <c r="F18" s="177"/>
      <c r="G18" s="105">
        <v>145133</v>
      </c>
      <c r="H18" s="105">
        <v>137816</v>
      </c>
      <c r="I18" s="105">
        <f t="shared" si="0"/>
        <v>7317</v>
      </c>
      <c r="J18" s="105">
        <f>(I18-I16-I17)</f>
        <v>2878</v>
      </c>
      <c r="K18" s="5">
        <v>0.375</v>
      </c>
      <c r="L18" s="5">
        <v>0.375</v>
      </c>
      <c r="M18" s="17" t="s">
        <v>132</v>
      </c>
    </row>
    <row r="19" spans="2:19" x14ac:dyDescent="0.25">
      <c r="B19" s="92">
        <v>16</v>
      </c>
      <c r="C19" s="15" t="s">
        <v>117</v>
      </c>
      <c r="D19" s="95" t="s">
        <v>102</v>
      </c>
      <c r="E19" s="95" t="s">
        <v>100</v>
      </c>
      <c r="F19" s="177"/>
      <c r="G19" s="16">
        <v>21732</v>
      </c>
      <c r="H19" s="16">
        <v>21235</v>
      </c>
      <c r="I19" s="105">
        <f t="shared" si="0"/>
        <v>497</v>
      </c>
      <c r="J19" s="105">
        <f>(I19-0)</f>
        <v>497</v>
      </c>
      <c r="K19" s="5">
        <v>0.375</v>
      </c>
      <c r="L19" s="5">
        <v>0.375</v>
      </c>
      <c r="M19" s="77"/>
    </row>
    <row r="20" spans="2:19" x14ac:dyDescent="0.25">
      <c r="B20" s="92">
        <v>17</v>
      </c>
      <c r="C20" s="15" t="s">
        <v>83</v>
      </c>
      <c r="D20" s="95" t="s">
        <v>14</v>
      </c>
      <c r="E20" s="95" t="s">
        <v>100</v>
      </c>
      <c r="F20" s="177"/>
      <c r="G20" s="16">
        <v>287748</v>
      </c>
      <c r="H20" s="16">
        <v>279321</v>
      </c>
      <c r="I20" s="105">
        <f t="shared" si="0"/>
        <v>8427</v>
      </c>
      <c r="J20" s="105">
        <f>(I20-0)</f>
        <v>8427</v>
      </c>
      <c r="K20" s="5">
        <v>0.375</v>
      </c>
      <c r="L20" s="5">
        <v>0.375</v>
      </c>
      <c r="M20" s="106"/>
      <c r="P20" s="233">
        <f>+O27+O28</f>
        <v>233857.8414</v>
      </c>
      <c r="R20" s="19"/>
    </row>
    <row r="21" spans="2:19" x14ac:dyDescent="0.25">
      <c r="B21" s="92">
        <v>18</v>
      </c>
      <c r="C21" s="15" t="s">
        <v>118</v>
      </c>
      <c r="D21" s="95" t="s">
        <v>14</v>
      </c>
      <c r="E21" s="95" t="s">
        <v>100</v>
      </c>
      <c r="F21" s="177"/>
      <c r="G21" s="16">
        <v>3562188</v>
      </c>
      <c r="H21" s="16">
        <v>3470151</v>
      </c>
      <c r="I21" s="105">
        <f t="shared" si="0"/>
        <v>92037</v>
      </c>
      <c r="J21" s="105">
        <f>(I21-0)</f>
        <v>92037</v>
      </c>
      <c r="K21" s="5">
        <v>0.375</v>
      </c>
      <c r="L21" s="5">
        <v>0.375</v>
      </c>
      <c r="M21" s="106"/>
      <c r="P21" s="233">
        <f>+O30</f>
        <v>81578.2068</v>
      </c>
    </row>
    <row r="22" spans="2:19" x14ac:dyDescent="0.25">
      <c r="B22" s="92">
        <v>19</v>
      </c>
      <c r="C22" s="15" t="s">
        <v>119</v>
      </c>
      <c r="D22" s="95" t="s">
        <v>14</v>
      </c>
      <c r="E22" s="95" t="s">
        <v>100</v>
      </c>
      <c r="F22" s="177"/>
      <c r="G22" s="16">
        <v>2439521</v>
      </c>
      <c r="H22" s="16">
        <v>2397804</v>
      </c>
      <c r="I22" s="105">
        <f t="shared" si="0"/>
        <v>41717</v>
      </c>
      <c r="J22" s="105">
        <f>(I22-I23-I89)</f>
        <v>30542</v>
      </c>
      <c r="K22" s="5">
        <v>0.375</v>
      </c>
      <c r="L22" s="5">
        <v>0.375</v>
      </c>
      <c r="M22" s="106" t="s">
        <v>138</v>
      </c>
    </row>
    <row r="23" spans="2:19" x14ac:dyDescent="0.25">
      <c r="B23" s="92">
        <v>20</v>
      </c>
      <c r="C23" s="15" t="s">
        <v>86</v>
      </c>
      <c r="D23" s="95" t="s">
        <v>14</v>
      </c>
      <c r="E23" s="95" t="s">
        <v>100</v>
      </c>
      <c r="F23" s="177"/>
      <c r="G23" s="16">
        <v>206234</v>
      </c>
      <c r="H23" s="16">
        <v>198353</v>
      </c>
      <c r="I23" s="105">
        <f t="shared" si="0"/>
        <v>7881</v>
      </c>
      <c r="J23" s="105">
        <f>(I23-0)</f>
        <v>7881</v>
      </c>
      <c r="K23" s="5">
        <v>0.375</v>
      </c>
      <c r="L23" s="5">
        <v>0.375</v>
      </c>
      <c r="M23" s="106"/>
    </row>
    <row r="24" spans="2:19" x14ac:dyDescent="0.25">
      <c r="B24" s="92">
        <v>21</v>
      </c>
      <c r="C24" s="15" t="s">
        <v>157</v>
      </c>
      <c r="D24" s="95" t="s">
        <v>12</v>
      </c>
      <c r="E24" s="95" t="s">
        <v>111</v>
      </c>
      <c r="F24" s="177"/>
      <c r="G24" s="16">
        <v>20572</v>
      </c>
      <c r="H24" s="16">
        <v>17728</v>
      </c>
      <c r="I24" s="105">
        <f t="shared" si="0"/>
        <v>2844</v>
      </c>
      <c r="J24" s="105">
        <f>(I24-0)</f>
        <v>2844</v>
      </c>
      <c r="K24" s="5">
        <v>0.375</v>
      </c>
      <c r="L24" s="5">
        <v>0.375</v>
      </c>
      <c r="M24" s="106"/>
    </row>
    <row r="25" spans="2:19" s="20" customFormat="1" ht="15.75" thickBot="1" x14ac:dyDescent="0.3">
      <c r="B25" s="93">
        <v>22</v>
      </c>
      <c r="C25" s="21" t="s">
        <v>88</v>
      </c>
      <c r="D25" s="96" t="s">
        <v>12</v>
      </c>
      <c r="E25" s="96" t="s">
        <v>100</v>
      </c>
      <c r="F25" s="165"/>
      <c r="G25" s="22">
        <v>883643</v>
      </c>
      <c r="H25" s="22">
        <v>875710</v>
      </c>
      <c r="I25" s="2">
        <f t="shared" si="0"/>
        <v>7933</v>
      </c>
      <c r="J25" s="2">
        <f>(I25-0)</f>
        <v>7933</v>
      </c>
      <c r="K25" s="23">
        <v>0.375</v>
      </c>
      <c r="L25" s="23">
        <v>0.375</v>
      </c>
      <c r="M25" s="36"/>
    </row>
    <row r="26" spans="2:19" ht="15.75" thickBot="1" x14ac:dyDescent="0.3">
      <c r="B26" s="114">
        <v>23</v>
      </c>
      <c r="C26" s="115" t="s">
        <v>152</v>
      </c>
      <c r="D26" s="116" t="s">
        <v>12</v>
      </c>
      <c r="E26" s="116" t="s">
        <v>100</v>
      </c>
      <c r="F26" s="115"/>
      <c r="G26" s="117">
        <v>466225</v>
      </c>
      <c r="H26" s="117">
        <v>462225</v>
      </c>
      <c r="I26" s="109">
        <f t="shared" si="0"/>
        <v>4000</v>
      </c>
      <c r="J26" s="109">
        <f>(I26-0)</f>
        <v>4000</v>
      </c>
      <c r="K26" s="118">
        <v>0.375</v>
      </c>
      <c r="L26" s="118">
        <v>0.375</v>
      </c>
      <c r="M26" s="119"/>
      <c r="N26" s="84" t="s">
        <v>140</v>
      </c>
      <c r="O26" s="202" t="s">
        <v>141</v>
      </c>
      <c r="P26" s="202"/>
      <c r="Q26" s="24" t="s">
        <v>142</v>
      </c>
      <c r="R26" s="24" t="s">
        <v>143</v>
      </c>
      <c r="S26" s="25" t="s">
        <v>144</v>
      </c>
    </row>
    <row r="27" spans="2:19" x14ac:dyDescent="0.25">
      <c r="B27" s="98">
        <v>24</v>
      </c>
      <c r="C27" s="11" t="s">
        <v>20</v>
      </c>
      <c r="D27" s="97" t="s">
        <v>14</v>
      </c>
      <c r="E27" s="97" t="s">
        <v>100</v>
      </c>
      <c r="F27" s="164" t="s">
        <v>20</v>
      </c>
      <c r="G27" s="12">
        <v>3355356</v>
      </c>
      <c r="H27" s="12">
        <v>3176587</v>
      </c>
      <c r="I27" s="1">
        <f t="shared" si="0"/>
        <v>178769</v>
      </c>
      <c r="J27" s="1">
        <f>(I27-0)</f>
        <v>178769</v>
      </c>
      <c r="K27" s="9">
        <v>0.375</v>
      </c>
      <c r="L27" s="9">
        <v>0.375</v>
      </c>
      <c r="M27" s="37"/>
      <c r="N27" s="85">
        <f>(J27)*11%+(J27)</f>
        <v>198433.59</v>
      </c>
      <c r="O27" s="104">
        <f>N43*2.5%+N27</f>
        <v>201513.06299999999</v>
      </c>
      <c r="P27" s="111" t="s">
        <v>145</v>
      </c>
      <c r="Q27" s="204">
        <f>O27+O28+O30+O31+O32</f>
        <v>321437.81820000004</v>
      </c>
      <c r="R27" s="208">
        <v>321125</v>
      </c>
      <c r="S27" s="209">
        <f>Q27-R27</f>
        <v>312.8182000000379</v>
      </c>
    </row>
    <row r="28" spans="2:19" x14ac:dyDescent="0.25">
      <c r="B28" s="92">
        <v>25</v>
      </c>
      <c r="C28" s="15" t="s">
        <v>120</v>
      </c>
      <c r="D28" s="95" t="s">
        <v>14</v>
      </c>
      <c r="E28" s="95" t="s">
        <v>100</v>
      </c>
      <c r="F28" s="177"/>
      <c r="G28" s="75">
        <v>1833719</v>
      </c>
      <c r="H28" s="75">
        <v>1738892</v>
      </c>
      <c r="I28" s="105">
        <f t="shared" si="0"/>
        <v>94827</v>
      </c>
      <c r="J28" s="105">
        <f>(I28-I30)</f>
        <v>25772</v>
      </c>
      <c r="K28" s="5">
        <v>0.375</v>
      </c>
      <c r="L28" s="5">
        <v>0.375</v>
      </c>
      <c r="M28" s="17" t="s">
        <v>121</v>
      </c>
      <c r="N28" s="206">
        <f>(J28+J29)*11%+(J28+J29)</f>
        <v>29881.200000000001</v>
      </c>
      <c r="O28" s="207">
        <f>N43*2%+N28</f>
        <v>32344.778399999999</v>
      </c>
      <c r="P28" s="177" t="s">
        <v>146</v>
      </c>
      <c r="Q28" s="205"/>
      <c r="R28" s="205"/>
      <c r="S28" s="210"/>
    </row>
    <row r="29" spans="2:19" x14ac:dyDescent="0.25">
      <c r="B29" s="92">
        <v>26</v>
      </c>
      <c r="C29" s="15" t="s">
        <v>122</v>
      </c>
      <c r="D29" s="95" t="s">
        <v>12</v>
      </c>
      <c r="E29" s="95" t="s">
        <v>100</v>
      </c>
      <c r="F29" s="177"/>
      <c r="G29" s="16">
        <v>304102</v>
      </c>
      <c r="H29" s="16">
        <v>302954</v>
      </c>
      <c r="I29" s="105">
        <f t="shared" si="0"/>
        <v>1148</v>
      </c>
      <c r="J29" s="105">
        <f>(I29-0)</f>
        <v>1148</v>
      </c>
      <c r="K29" s="5">
        <v>0.375</v>
      </c>
      <c r="L29" s="5">
        <v>0.375</v>
      </c>
      <c r="M29" s="17"/>
      <c r="N29" s="206"/>
      <c r="O29" s="207"/>
      <c r="P29" s="177"/>
      <c r="Q29" s="205"/>
      <c r="R29" s="205"/>
      <c r="S29" s="210"/>
    </row>
    <row r="30" spans="2:19" ht="15" customHeight="1" x14ac:dyDescent="0.25">
      <c r="B30" s="92">
        <v>27</v>
      </c>
      <c r="C30" s="15" t="s">
        <v>96</v>
      </c>
      <c r="D30" s="95" t="s">
        <v>14</v>
      </c>
      <c r="E30" s="95" t="s">
        <v>108</v>
      </c>
      <c r="F30" s="177"/>
      <c r="G30" s="16">
        <v>895353</v>
      </c>
      <c r="H30" s="16">
        <v>826298</v>
      </c>
      <c r="I30" s="105">
        <f t="shared" si="0"/>
        <v>69055</v>
      </c>
      <c r="J30" s="105">
        <f>(I30-0)</f>
        <v>69055</v>
      </c>
      <c r="K30" s="5">
        <v>0.375</v>
      </c>
      <c r="L30" s="5">
        <v>0.375</v>
      </c>
      <c r="M30" s="106"/>
      <c r="N30" s="103">
        <f>J30*11%+J30</f>
        <v>76651.05</v>
      </c>
      <c r="O30" s="107">
        <f>N43*4%+N30</f>
        <v>81578.2068</v>
      </c>
      <c r="P30" s="95" t="s">
        <v>147</v>
      </c>
      <c r="Q30" s="205"/>
      <c r="R30" s="205"/>
      <c r="S30" s="210"/>
    </row>
    <row r="31" spans="2:19" ht="15" customHeight="1" x14ac:dyDescent="0.25">
      <c r="B31" s="92">
        <v>28</v>
      </c>
      <c r="C31" s="15" t="s">
        <v>21</v>
      </c>
      <c r="D31" s="95" t="s">
        <v>12</v>
      </c>
      <c r="E31" s="95" t="s">
        <v>108</v>
      </c>
      <c r="F31" s="177"/>
      <c r="G31" s="16">
        <v>34972</v>
      </c>
      <c r="H31" s="16">
        <v>30990</v>
      </c>
      <c r="I31" s="105">
        <f t="shared" si="0"/>
        <v>3982</v>
      </c>
      <c r="J31" s="105">
        <f>(I31-0)</f>
        <v>3982</v>
      </c>
      <c r="K31" s="5">
        <v>0.375</v>
      </c>
      <c r="L31" s="5">
        <v>0.375</v>
      </c>
      <c r="M31" s="106"/>
      <c r="N31" s="103">
        <f>J31*11%+J31</f>
        <v>4420.0200000000004</v>
      </c>
      <c r="O31" s="107">
        <f>N31</f>
        <v>4420.0200000000004</v>
      </c>
      <c r="P31" s="95"/>
      <c r="Q31" s="205"/>
      <c r="R31" s="205"/>
      <c r="S31" s="210"/>
    </row>
    <row r="32" spans="2:19" ht="15.75" customHeight="1" thickBot="1" x14ac:dyDescent="0.3">
      <c r="B32" s="78">
        <v>29</v>
      </c>
      <c r="C32" s="79" t="s">
        <v>109</v>
      </c>
      <c r="D32" s="80" t="s">
        <v>12</v>
      </c>
      <c r="E32" s="80" t="s">
        <v>108</v>
      </c>
      <c r="F32" s="203"/>
      <c r="G32" s="81">
        <v>20835</v>
      </c>
      <c r="H32" s="81">
        <v>19410</v>
      </c>
      <c r="I32" s="108">
        <f t="shared" si="0"/>
        <v>1425</v>
      </c>
      <c r="J32" s="108">
        <f>(I32-0)</f>
        <v>1425</v>
      </c>
      <c r="K32" s="82">
        <v>0.375</v>
      </c>
      <c r="L32" s="82">
        <v>0.375</v>
      </c>
      <c r="M32" s="83"/>
      <c r="N32" s="103">
        <f>J32*11%+J32</f>
        <v>1581.75</v>
      </c>
      <c r="O32" s="107">
        <f>N32</f>
        <v>1581.75</v>
      </c>
      <c r="P32" s="95"/>
      <c r="Q32" s="205"/>
      <c r="R32" s="205"/>
      <c r="S32" s="210"/>
    </row>
    <row r="33" spans="2:19" ht="15" customHeight="1" x14ac:dyDescent="0.25">
      <c r="B33" s="98">
        <v>30</v>
      </c>
      <c r="C33" s="11" t="s">
        <v>58</v>
      </c>
      <c r="D33" s="97" t="s">
        <v>12</v>
      </c>
      <c r="E33" s="97" t="s">
        <v>108</v>
      </c>
      <c r="F33" s="164" t="s">
        <v>91</v>
      </c>
      <c r="G33" s="12">
        <v>2246080</v>
      </c>
      <c r="H33" s="12">
        <v>2187320</v>
      </c>
      <c r="I33" s="1">
        <f t="shared" si="0"/>
        <v>58760</v>
      </c>
      <c r="J33" s="1">
        <f>(I33-I38)</f>
        <v>53736</v>
      </c>
      <c r="K33" s="9">
        <v>0.375</v>
      </c>
      <c r="L33" s="9">
        <v>0.375</v>
      </c>
      <c r="M33" s="14" t="s">
        <v>123</v>
      </c>
      <c r="N33" s="103">
        <f>J33*11%+J33</f>
        <v>59646.96</v>
      </c>
      <c r="O33" s="107">
        <f>N43*4%+N33</f>
        <v>64574.116799999996</v>
      </c>
      <c r="P33" s="95" t="s">
        <v>147</v>
      </c>
      <c r="Q33" s="207">
        <f>O33+O34+O36+O37+O38</f>
        <v>114095.65679999998</v>
      </c>
      <c r="R33" s="205">
        <v>110672</v>
      </c>
      <c r="S33" s="211">
        <f>Q33-R33</f>
        <v>3423.6567999999825</v>
      </c>
    </row>
    <row r="34" spans="2:19" x14ac:dyDescent="0.25">
      <c r="B34" s="92">
        <v>31</v>
      </c>
      <c r="C34" s="15" t="s">
        <v>22</v>
      </c>
      <c r="D34" s="95" t="s">
        <v>14</v>
      </c>
      <c r="E34" s="95" t="s">
        <v>110</v>
      </c>
      <c r="F34" s="177"/>
      <c r="G34" s="105">
        <v>1286502</v>
      </c>
      <c r="H34" s="105">
        <v>1260899</v>
      </c>
      <c r="I34" s="105">
        <f t="shared" si="0"/>
        <v>25603</v>
      </c>
      <c r="J34" s="105">
        <f>(I34-I36-I37)</f>
        <v>22407</v>
      </c>
      <c r="K34" s="5">
        <v>0.375</v>
      </c>
      <c r="L34" s="5">
        <v>0.375</v>
      </c>
      <c r="M34" s="17" t="s">
        <v>59</v>
      </c>
      <c r="N34" s="206">
        <f>(J34+J35)*11%+(J34+J35)</f>
        <v>40397.339999999997</v>
      </c>
      <c r="O34" s="207">
        <f>N34</f>
        <v>40397.339999999997</v>
      </c>
      <c r="P34" s="231">
        <f>+(O38/2)+O33</f>
        <v>67362.436799999996</v>
      </c>
      <c r="Q34" s="207"/>
      <c r="R34" s="205"/>
      <c r="S34" s="210"/>
    </row>
    <row r="35" spans="2:19" x14ac:dyDescent="0.25">
      <c r="B35" s="92">
        <v>32</v>
      </c>
      <c r="C35" s="15" t="s">
        <v>23</v>
      </c>
      <c r="D35" s="95" t="s">
        <v>14</v>
      </c>
      <c r="E35" s="95" t="s">
        <v>110</v>
      </c>
      <c r="F35" s="177"/>
      <c r="G35" s="16">
        <v>691592</v>
      </c>
      <c r="H35" s="16">
        <v>677605</v>
      </c>
      <c r="I35" s="105">
        <f t="shared" si="0"/>
        <v>13987</v>
      </c>
      <c r="J35" s="105">
        <f>(I35-0)</f>
        <v>13987</v>
      </c>
      <c r="K35" s="5">
        <v>0.375</v>
      </c>
      <c r="L35" s="5">
        <v>0.375</v>
      </c>
      <c r="M35" s="106"/>
      <c r="N35" s="206"/>
      <c r="O35" s="207"/>
      <c r="P35" s="231"/>
      <c r="Q35" s="207"/>
      <c r="R35" s="205"/>
      <c r="S35" s="210"/>
    </row>
    <row r="36" spans="2:19" x14ac:dyDescent="0.25">
      <c r="B36" s="92">
        <v>33</v>
      </c>
      <c r="C36" s="15" t="s">
        <v>53</v>
      </c>
      <c r="D36" s="95" t="s">
        <v>14</v>
      </c>
      <c r="E36" s="95" t="s">
        <v>110</v>
      </c>
      <c r="F36" s="177"/>
      <c r="G36" s="16">
        <v>53782</v>
      </c>
      <c r="H36" s="16">
        <v>52917</v>
      </c>
      <c r="I36" s="105">
        <f t="shared" si="0"/>
        <v>865</v>
      </c>
      <c r="J36" s="105">
        <f>(I36-0)</f>
        <v>865</v>
      </c>
      <c r="K36" s="5">
        <v>0.375</v>
      </c>
      <c r="L36" s="5">
        <v>0.375</v>
      </c>
      <c r="M36" s="106"/>
      <c r="N36" s="103">
        <f>J36*11%+J36</f>
        <v>960.15</v>
      </c>
      <c r="O36" s="107">
        <f>N36</f>
        <v>960.15</v>
      </c>
      <c r="P36" s="232">
        <f>+O34</f>
        <v>40397.339999999997</v>
      </c>
      <c r="Q36" s="207"/>
      <c r="R36" s="205"/>
      <c r="S36" s="210"/>
    </row>
    <row r="37" spans="2:19" x14ac:dyDescent="0.25">
      <c r="B37" s="92">
        <v>34</v>
      </c>
      <c r="C37" s="15" t="s">
        <v>56</v>
      </c>
      <c r="D37" s="95" t="s">
        <v>14</v>
      </c>
      <c r="E37" s="95" t="s">
        <v>110</v>
      </c>
      <c r="F37" s="177"/>
      <c r="G37" s="16">
        <v>43155</v>
      </c>
      <c r="H37" s="16">
        <v>40824</v>
      </c>
      <c r="I37" s="105">
        <f t="shared" si="0"/>
        <v>2331</v>
      </c>
      <c r="J37" s="105">
        <f>(I37-0)</f>
        <v>2331</v>
      </c>
      <c r="K37" s="5">
        <v>0.375</v>
      </c>
      <c r="L37" s="5">
        <v>0.375</v>
      </c>
      <c r="M37" s="106"/>
      <c r="N37" s="103">
        <f>J37*11%+J37</f>
        <v>2587.41</v>
      </c>
      <c r="O37" s="107">
        <f>N37</f>
        <v>2587.41</v>
      </c>
      <c r="P37" s="105"/>
      <c r="Q37" s="207"/>
      <c r="R37" s="205"/>
      <c r="S37" s="210"/>
    </row>
    <row r="38" spans="2:19" ht="15.75" thickBot="1" x14ac:dyDescent="0.3">
      <c r="B38" s="93">
        <v>35</v>
      </c>
      <c r="C38" s="21" t="s">
        <v>97</v>
      </c>
      <c r="D38" s="96" t="s">
        <v>12</v>
      </c>
      <c r="E38" s="96" t="s">
        <v>110</v>
      </c>
      <c r="F38" s="165"/>
      <c r="G38" s="22">
        <v>88068</v>
      </c>
      <c r="H38" s="22">
        <v>83044</v>
      </c>
      <c r="I38" s="2">
        <f t="shared" si="0"/>
        <v>5024</v>
      </c>
      <c r="J38" s="2">
        <f>(I38-0)</f>
        <v>5024</v>
      </c>
      <c r="K38" s="23">
        <v>0.375</v>
      </c>
      <c r="L38" s="23">
        <v>0.375</v>
      </c>
      <c r="M38" s="30"/>
      <c r="N38" s="103">
        <f>J38*11%+J38</f>
        <v>5576.64</v>
      </c>
      <c r="O38" s="107">
        <f>N38</f>
        <v>5576.64</v>
      </c>
      <c r="P38" s="105"/>
      <c r="Q38" s="207"/>
      <c r="R38" s="205"/>
      <c r="S38" s="210"/>
    </row>
    <row r="39" spans="2:19" x14ac:dyDescent="0.25">
      <c r="B39" s="98">
        <v>36</v>
      </c>
      <c r="C39" s="11" t="s">
        <v>24</v>
      </c>
      <c r="D39" s="97" t="s">
        <v>12</v>
      </c>
      <c r="E39" s="97" t="s">
        <v>111</v>
      </c>
      <c r="F39" s="164" t="s">
        <v>112</v>
      </c>
      <c r="G39" s="12">
        <v>502793</v>
      </c>
      <c r="H39" s="12">
        <v>487266</v>
      </c>
      <c r="I39" s="1">
        <f>G39-H39</f>
        <v>15527</v>
      </c>
      <c r="J39" s="1">
        <f>I39-0</f>
        <v>15527</v>
      </c>
      <c r="K39" s="9">
        <v>0.375</v>
      </c>
      <c r="L39" s="9">
        <v>0.375</v>
      </c>
      <c r="M39" s="14"/>
      <c r="N39" s="103">
        <f>J39*11%+J39</f>
        <v>17234.97</v>
      </c>
      <c r="O39" s="107">
        <f>N43*2%+N39</f>
        <v>19698.5484</v>
      </c>
      <c r="P39" s="95" t="s">
        <v>146</v>
      </c>
      <c r="Q39" s="229">
        <f>+O39+O40+N41</f>
        <v>40803.466799999995</v>
      </c>
      <c r="R39" s="212">
        <v>40714</v>
      </c>
      <c r="S39" s="214">
        <f>Q39-R39</f>
        <v>89.466799999994691</v>
      </c>
    </row>
    <row r="40" spans="2:19" x14ac:dyDescent="0.25">
      <c r="B40" s="92">
        <v>37</v>
      </c>
      <c r="C40" s="15" t="s">
        <v>25</v>
      </c>
      <c r="D40" s="95" t="s">
        <v>12</v>
      </c>
      <c r="E40" s="95" t="s">
        <v>111</v>
      </c>
      <c r="F40" s="177"/>
      <c r="G40" s="16">
        <v>950256</v>
      </c>
      <c r="H40" s="16">
        <v>937291</v>
      </c>
      <c r="I40" s="105">
        <f>G40-H40</f>
        <v>12965</v>
      </c>
      <c r="J40" s="105">
        <f>I40-I42</f>
        <v>11072</v>
      </c>
      <c r="K40" s="5">
        <v>0.375</v>
      </c>
      <c r="L40" s="5">
        <v>0.375</v>
      </c>
      <c r="M40" s="106" t="s">
        <v>153</v>
      </c>
      <c r="N40" s="103">
        <f>J40*11%+J40</f>
        <v>12289.92</v>
      </c>
      <c r="O40" s="107">
        <f>N43*2%+N40</f>
        <v>14753.4984</v>
      </c>
      <c r="P40" s="95" t="s">
        <v>146</v>
      </c>
      <c r="Q40" s="229"/>
      <c r="R40" s="213"/>
      <c r="S40" s="215"/>
    </row>
    <row r="41" spans="2:19" x14ac:dyDescent="0.25">
      <c r="B41" s="92">
        <v>38</v>
      </c>
      <c r="C41" s="15" t="s">
        <v>154</v>
      </c>
      <c r="D41" s="95" t="s">
        <v>12</v>
      </c>
      <c r="E41" s="95" t="s">
        <v>111</v>
      </c>
      <c r="F41" s="177"/>
      <c r="G41" s="16">
        <v>58777</v>
      </c>
      <c r="H41" s="16">
        <v>54948</v>
      </c>
      <c r="I41" s="105">
        <f>G41-H41</f>
        <v>3829</v>
      </c>
      <c r="J41" s="105">
        <f>I41-0</f>
        <v>3829</v>
      </c>
      <c r="K41" s="5">
        <v>0.375</v>
      </c>
      <c r="L41" s="5">
        <v>0.375</v>
      </c>
      <c r="M41" s="106"/>
      <c r="N41" s="206">
        <f>(J41+J42)*11%+(J41+J42)</f>
        <v>6351.42</v>
      </c>
      <c r="O41" s="26"/>
      <c r="P41" s="95"/>
      <c r="Q41" s="229"/>
      <c r="R41" s="213"/>
      <c r="S41" s="215"/>
    </row>
    <row r="42" spans="2:19" ht="15.75" thickBot="1" x14ac:dyDescent="0.3">
      <c r="B42" s="93">
        <v>39</v>
      </c>
      <c r="C42" s="21" t="s">
        <v>155</v>
      </c>
      <c r="D42" s="96" t="s">
        <v>12</v>
      </c>
      <c r="E42" s="96" t="s">
        <v>111</v>
      </c>
      <c r="F42" s="165"/>
      <c r="G42" s="22">
        <v>8405</v>
      </c>
      <c r="H42" s="22">
        <v>6512</v>
      </c>
      <c r="I42" s="2">
        <f>G42-H42</f>
        <v>1893</v>
      </c>
      <c r="J42" s="2">
        <f t="shared" ref="J42:J52" si="2">(I42-0)</f>
        <v>1893</v>
      </c>
      <c r="K42" s="23">
        <v>0.375</v>
      </c>
      <c r="L42" s="23">
        <v>0.375</v>
      </c>
      <c r="M42" s="36"/>
      <c r="N42" s="218"/>
      <c r="O42" s="27"/>
      <c r="P42" s="28"/>
      <c r="Q42" s="230"/>
      <c r="R42" s="161"/>
      <c r="S42" s="216"/>
    </row>
    <row r="43" spans="2:19" ht="30.75" customHeight="1" x14ac:dyDescent="0.25">
      <c r="B43" s="98">
        <v>40</v>
      </c>
      <c r="C43" s="11" t="s">
        <v>84</v>
      </c>
      <c r="D43" s="97" t="s">
        <v>102</v>
      </c>
      <c r="E43" s="97" t="s">
        <v>100</v>
      </c>
      <c r="F43" s="164" t="s">
        <v>148</v>
      </c>
      <c r="G43" s="1">
        <v>373590</v>
      </c>
      <c r="H43" s="1">
        <v>263577</v>
      </c>
      <c r="I43" s="1">
        <f t="shared" si="0"/>
        <v>110013</v>
      </c>
      <c r="J43" s="1">
        <f t="shared" si="2"/>
        <v>110013</v>
      </c>
      <c r="K43" s="9">
        <v>0.375</v>
      </c>
      <c r="L43" s="9">
        <v>0.375</v>
      </c>
      <c r="M43" s="76"/>
      <c r="N43" s="7">
        <f>(J43+J45+J44)*11%+(J43+J45+J44)</f>
        <v>123178.92</v>
      </c>
      <c r="O43" s="29"/>
      <c r="Q43" s="8"/>
      <c r="R43" s="7"/>
      <c r="S43" s="8"/>
    </row>
    <row r="44" spans="2:19" ht="17.25" customHeight="1" x14ac:dyDescent="0.25">
      <c r="B44" s="92">
        <v>41</v>
      </c>
      <c r="C44" s="15" t="s">
        <v>133</v>
      </c>
      <c r="D44" s="95" t="s">
        <v>14</v>
      </c>
      <c r="E44" s="95" t="s">
        <v>100</v>
      </c>
      <c r="F44" s="177"/>
      <c r="G44" s="16">
        <v>808741</v>
      </c>
      <c r="H44" s="16">
        <v>808481</v>
      </c>
      <c r="I44" s="105">
        <f t="shared" si="0"/>
        <v>260</v>
      </c>
      <c r="J44" s="105">
        <f t="shared" si="2"/>
        <v>260</v>
      </c>
      <c r="K44" s="5">
        <v>0.375</v>
      </c>
      <c r="L44" s="5">
        <v>0.375</v>
      </c>
      <c r="M44" s="106"/>
    </row>
    <row r="45" spans="2:19" ht="17.25" customHeight="1" thickBot="1" x14ac:dyDescent="0.3">
      <c r="B45" s="93">
        <v>42</v>
      </c>
      <c r="C45" s="21" t="s">
        <v>134</v>
      </c>
      <c r="D45" s="96" t="s">
        <v>102</v>
      </c>
      <c r="E45" s="96" t="s">
        <v>100</v>
      </c>
      <c r="F45" s="165"/>
      <c r="G45" s="22">
        <v>91344</v>
      </c>
      <c r="H45" s="22">
        <v>90645</v>
      </c>
      <c r="I45" s="2">
        <f t="shared" si="0"/>
        <v>699</v>
      </c>
      <c r="J45" s="2">
        <f t="shared" si="2"/>
        <v>699</v>
      </c>
      <c r="K45" s="23">
        <v>0.375</v>
      </c>
      <c r="L45" s="23">
        <v>0.375</v>
      </c>
      <c r="M45" s="30"/>
    </row>
    <row r="46" spans="2:19" ht="18" customHeight="1" x14ac:dyDescent="0.25">
      <c r="B46" s="98">
        <v>43</v>
      </c>
      <c r="C46" s="11" t="s">
        <v>26</v>
      </c>
      <c r="D46" s="97" t="s">
        <v>12</v>
      </c>
      <c r="E46" s="97" t="s">
        <v>100</v>
      </c>
      <c r="F46" s="164" t="s">
        <v>27</v>
      </c>
      <c r="G46" s="1">
        <v>109369</v>
      </c>
      <c r="H46" s="1">
        <v>107024</v>
      </c>
      <c r="I46" s="1">
        <f t="shared" si="0"/>
        <v>2345</v>
      </c>
      <c r="J46" s="1">
        <f t="shared" si="2"/>
        <v>2345</v>
      </c>
      <c r="K46" s="9">
        <v>0.375</v>
      </c>
      <c r="L46" s="9">
        <v>0.375</v>
      </c>
      <c r="M46" s="14"/>
    </row>
    <row r="47" spans="2:19" ht="18" customHeight="1" thickBot="1" x14ac:dyDescent="0.3">
      <c r="B47" s="93">
        <v>44</v>
      </c>
      <c r="C47" s="21" t="s">
        <v>28</v>
      </c>
      <c r="D47" s="96" t="s">
        <v>12</v>
      </c>
      <c r="E47" s="96" t="s">
        <v>100</v>
      </c>
      <c r="F47" s="165"/>
      <c r="G47" s="2">
        <v>53420</v>
      </c>
      <c r="H47" s="2">
        <v>51106</v>
      </c>
      <c r="I47" s="2">
        <f t="shared" si="0"/>
        <v>2314</v>
      </c>
      <c r="J47" s="2">
        <f t="shared" si="2"/>
        <v>2314</v>
      </c>
      <c r="K47" s="23">
        <v>0.375</v>
      </c>
      <c r="L47" s="23">
        <v>0.375</v>
      </c>
      <c r="M47" s="30"/>
    </row>
    <row r="48" spans="2:19" ht="31.5" customHeight="1" thickBot="1" x14ac:dyDescent="0.3">
      <c r="B48" s="31">
        <v>45</v>
      </c>
      <c r="C48" s="32" t="s">
        <v>29</v>
      </c>
      <c r="D48" s="10" t="s">
        <v>19</v>
      </c>
      <c r="E48" s="10" t="s">
        <v>113</v>
      </c>
      <c r="F48" s="10" t="s">
        <v>30</v>
      </c>
      <c r="G48" s="4">
        <v>590738</v>
      </c>
      <c r="H48" s="4">
        <v>582476</v>
      </c>
      <c r="I48" s="4">
        <f t="shared" si="0"/>
        <v>8262</v>
      </c>
      <c r="J48" s="4">
        <f t="shared" si="2"/>
        <v>8262</v>
      </c>
      <c r="K48" s="33">
        <v>0.375</v>
      </c>
      <c r="L48" s="33">
        <v>0.375</v>
      </c>
      <c r="M48" s="34"/>
    </row>
    <row r="49" spans="2:13" ht="17.25" customHeight="1" x14ac:dyDescent="0.25">
      <c r="B49" s="98">
        <v>46</v>
      </c>
      <c r="C49" s="11" t="s">
        <v>124</v>
      </c>
      <c r="D49" s="97" t="s">
        <v>19</v>
      </c>
      <c r="E49" s="97" t="s">
        <v>51</v>
      </c>
      <c r="F49" s="164" t="s">
        <v>137</v>
      </c>
      <c r="G49" s="12">
        <v>1192933</v>
      </c>
      <c r="H49" s="12">
        <v>1192933</v>
      </c>
      <c r="I49" s="1">
        <f t="shared" si="0"/>
        <v>0</v>
      </c>
      <c r="J49" s="1">
        <f t="shared" si="2"/>
        <v>0</v>
      </c>
      <c r="K49" s="9">
        <v>0.375</v>
      </c>
      <c r="L49" s="9">
        <v>0.375</v>
      </c>
      <c r="M49" s="14"/>
    </row>
    <row r="50" spans="2:13" x14ac:dyDescent="0.25">
      <c r="B50" s="92">
        <v>47</v>
      </c>
      <c r="C50" s="15" t="s">
        <v>73</v>
      </c>
      <c r="D50" s="95" t="s">
        <v>19</v>
      </c>
      <c r="E50" s="95" t="s">
        <v>52</v>
      </c>
      <c r="F50" s="177"/>
      <c r="G50" s="16">
        <v>2458133</v>
      </c>
      <c r="H50" s="16">
        <v>2437822</v>
      </c>
      <c r="I50" s="105">
        <f>G50-H50</f>
        <v>20311</v>
      </c>
      <c r="J50" s="105">
        <f t="shared" si="2"/>
        <v>20311</v>
      </c>
      <c r="K50" s="5">
        <v>0.375</v>
      </c>
      <c r="L50" s="5">
        <v>0.375</v>
      </c>
      <c r="M50" s="106"/>
    </row>
    <row r="51" spans="2:13" x14ac:dyDescent="0.25">
      <c r="B51" s="92">
        <v>48</v>
      </c>
      <c r="C51" s="15" t="s">
        <v>185</v>
      </c>
      <c r="D51" s="95" t="s">
        <v>19</v>
      </c>
      <c r="E51" s="95" t="s">
        <v>52</v>
      </c>
      <c r="F51" s="177"/>
      <c r="G51" s="16">
        <v>2912</v>
      </c>
      <c r="H51" s="16">
        <v>0</v>
      </c>
      <c r="I51" s="105">
        <f>G51-H51</f>
        <v>2912</v>
      </c>
      <c r="J51" s="105">
        <f t="shared" si="2"/>
        <v>2912</v>
      </c>
      <c r="K51" s="5">
        <v>0.375</v>
      </c>
      <c r="L51" s="5">
        <v>0.375</v>
      </c>
      <c r="M51" s="120" t="s">
        <v>186</v>
      </c>
    </row>
    <row r="52" spans="2:13" x14ac:dyDescent="0.25">
      <c r="B52" s="92">
        <v>49</v>
      </c>
      <c r="C52" s="15" t="s">
        <v>74</v>
      </c>
      <c r="D52" s="95" t="s">
        <v>19</v>
      </c>
      <c r="E52" s="95" t="s">
        <v>51</v>
      </c>
      <c r="F52" s="177"/>
      <c r="G52" s="16">
        <v>6531213</v>
      </c>
      <c r="H52" s="16">
        <v>6530964</v>
      </c>
      <c r="I52" s="105">
        <f t="shared" si="0"/>
        <v>249</v>
      </c>
      <c r="J52" s="105">
        <f t="shared" si="2"/>
        <v>249</v>
      </c>
      <c r="K52" s="5">
        <v>0.375</v>
      </c>
      <c r="L52" s="5">
        <v>0.375</v>
      </c>
      <c r="M52" s="106"/>
    </row>
    <row r="53" spans="2:13" x14ac:dyDescent="0.25">
      <c r="B53" s="92">
        <v>50</v>
      </c>
      <c r="C53" s="15" t="s">
        <v>54</v>
      </c>
      <c r="D53" s="95" t="s">
        <v>19</v>
      </c>
      <c r="E53" s="95" t="s">
        <v>52</v>
      </c>
      <c r="F53" s="177"/>
      <c r="G53" s="105">
        <v>3789785</v>
      </c>
      <c r="H53" s="105">
        <v>3732941</v>
      </c>
      <c r="I53" s="105">
        <f>G53-H53</f>
        <v>56844</v>
      </c>
      <c r="J53" s="105">
        <f>(I53-I81)</f>
        <v>55752</v>
      </c>
      <c r="K53" s="5">
        <v>0.375</v>
      </c>
      <c r="L53" s="5">
        <v>0.375</v>
      </c>
      <c r="M53" s="17" t="s">
        <v>139</v>
      </c>
    </row>
    <row r="54" spans="2:13" x14ac:dyDescent="0.25">
      <c r="B54" s="92">
        <v>51</v>
      </c>
      <c r="C54" s="15" t="s">
        <v>55</v>
      </c>
      <c r="D54" s="95" t="s">
        <v>19</v>
      </c>
      <c r="E54" s="95" t="s">
        <v>52</v>
      </c>
      <c r="F54" s="177"/>
      <c r="G54" s="16">
        <v>326256</v>
      </c>
      <c r="H54" s="16">
        <v>292306</v>
      </c>
      <c r="I54" s="105">
        <f t="shared" si="0"/>
        <v>33950</v>
      </c>
      <c r="J54" s="105">
        <f>(I54-0)</f>
        <v>33950</v>
      </c>
      <c r="K54" s="5">
        <v>0.375</v>
      </c>
      <c r="L54" s="5">
        <v>0.375</v>
      </c>
      <c r="M54" s="106"/>
    </row>
    <row r="55" spans="2:13" x14ac:dyDescent="0.25">
      <c r="B55" s="92">
        <v>52</v>
      </c>
      <c r="C55" s="15" t="s">
        <v>75</v>
      </c>
      <c r="D55" s="95" t="s">
        <v>19</v>
      </c>
      <c r="E55" s="95" t="s">
        <v>76</v>
      </c>
      <c r="F55" s="177"/>
      <c r="G55" s="16">
        <v>1324292</v>
      </c>
      <c r="H55" s="16">
        <v>1264311</v>
      </c>
      <c r="I55" s="105">
        <f t="shared" si="0"/>
        <v>59981</v>
      </c>
      <c r="J55" s="105">
        <f>(I55-0)</f>
        <v>59981</v>
      </c>
      <c r="K55" s="5">
        <v>0.375</v>
      </c>
      <c r="L55" s="5">
        <v>0.375</v>
      </c>
      <c r="M55" s="106"/>
    </row>
    <row r="56" spans="2:13" x14ac:dyDescent="0.25">
      <c r="B56" s="92">
        <v>53</v>
      </c>
      <c r="C56" s="15" t="s">
        <v>77</v>
      </c>
      <c r="D56" s="95" t="s">
        <v>19</v>
      </c>
      <c r="E56" s="95" t="s">
        <v>76</v>
      </c>
      <c r="F56" s="177"/>
      <c r="G56" s="16">
        <v>644725</v>
      </c>
      <c r="H56" s="16">
        <v>602580</v>
      </c>
      <c r="I56" s="105">
        <f t="shared" si="0"/>
        <v>42145</v>
      </c>
      <c r="J56" s="105">
        <f>(I56-0)</f>
        <v>42145</v>
      </c>
      <c r="K56" s="5">
        <v>0.375</v>
      </c>
      <c r="L56" s="5">
        <v>0.375</v>
      </c>
      <c r="M56" s="106"/>
    </row>
    <row r="57" spans="2:13" x14ac:dyDescent="0.25">
      <c r="B57" s="92">
        <v>54</v>
      </c>
      <c r="C57" s="15" t="s">
        <v>78</v>
      </c>
      <c r="D57" s="95" t="s">
        <v>19</v>
      </c>
      <c r="E57" s="95" t="s">
        <v>76</v>
      </c>
      <c r="F57" s="177"/>
      <c r="G57" s="16">
        <v>659754</v>
      </c>
      <c r="H57" s="16">
        <v>638608</v>
      </c>
      <c r="I57" s="105">
        <f t="shared" si="0"/>
        <v>21146</v>
      </c>
      <c r="J57" s="105">
        <f>(I57-I64)</f>
        <v>17779</v>
      </c>
      <c r="K57" s="5">
        <v>0.375</v>
      </c>
      <c r="L57" s="5">
        <v>0.375</v>
      </c>
      <c r="M57" s="17" t="s">
        <v>94</v>
      </c>
    </row>
    <row r="58" spans="2:13" x14ac:dyDescent="0.25">
      <c r="B58" s="92">
        <v>55</v>
      </c>
      <c r="C58" s="15" t="s">
        <v>79</v>
      </c>
      <c r="D58" s="95" t="s">
        <v>19</v>
      </c>
      <c r="E58" s="95" t="s">
        <v>76</v>
      </c>
      <c r="F58" s="177"/>
      <c r="G58" s="16">
        <v>21736</v>
      </c>
      <c r="H58" s="16">
        <v>21736</v>
      </c>
      <c r="I58" s="105">
        <f t="shared" si="0"/>
        <v>0</v>
      </c>
      <c r="J58" s="105">
        <f t="shared" ref="J58:J63" si="3">(I58-0)</f>
        <v>0</v>
      </c>
      <c r="K58" s="5">
        <v>0.375</v>
      </c>
      <c r="L58" s="5">
        <v>0.375</v>
      </c>
      <c r="M58" s="106"/>
    </row>
    <row r="59" spans="2:13" x14ac:dyDescent="0.25">
      <c r="B59" s="92">
        <v>56</v>
      </c>
      <c r="C59" s="15" t="s">
        <v>156</v>
      </c>
      <c r="D59" s="95" t="s">
        <v>19</v>
      </c>
      <c r="E59" s="95" t="s">
        <v>51</v>
      </c>
      <c r="F59" s="177"/>
      <c r="G59" s="16">
        <v>330970</v>
      </c>
      <c r="H59" s="16">
        <v>302969</v>
      </c>
      <c r="I59" s="105">
        <f t="shared" si="0"/>
        <v>28001</v>
      </c>
      <c r="J59" s="105">
        <f t="shared" si="3"/>
        <v>28001</v>
      </c>
      <c r="K59" s="5">
        <v>0.375</v>
      </c>
      <c r="L59" s="5">
        <v>0.375</v>
      </c>
      <c r="M59" s="106"/>
    </row>
    <row r="60" spans="2:13" x14ac:dyDescent="0.25">
      <c r="B60" s="92">
        <v>57</v>
      </c>
      <c r="C60" s="15" t="s">
        <v>80</v>
      </c>
      <c r="D60" s="95" t="s">
        <v>19</v>
      </c>
      <c r="E60" s="95" t="s">
        <v>76</v>
      </c>
      <c r="F60" s="177"/>
      <c r="G60" s="16">
        <v>1372940</v>
      </c>
      <c r="H60" s="16">
        <v>1326882</v>
      </c>
      <c r="I60" s="105">
        <f t="shared" si="0"/>
        <v>46058</v>
      </c>
      <c r="J60" s="105">
        <f t="shared" si="3"/>
        <v>46058</v>
      </c>
      <c r="K60" s="5">
        <v>0.375</v>
      </c>
      <c r="L60" s="5">
        <v>0.375</v>
      </c>
      <c r="M60" s="106"/>
    </row>
    <row r="61" spans="2:13" x14ac:dyDescent="0.25">
      <c r="B61" s="92">
        <v>58</v>
      </c>
      <c r="C61" s="15" t="s">
        <v>168</v>
      </c>
      <c r="D61" s="95" t="s">
        <v>19</v>
      </c>
      <c r="E61" s="95" t="s">
        <v>82</v>
      </c>
      <c r="F61" s="177"/>
      <c r="G61" s="16">
        <v>85668</v>
      </c>
      <c r="H61" s="16">
        <v>68828</v>
      </c>
      <c r="I61" s="105">
        <f t="shared" si="0"/>
        <v>16840</v>
      </c>
      <c r="J61" s="105">
        <f t="shared" si="3"/>
        <v>16840</v>
      </c>
      <c r="K61" s="5">
        <v>0.375</v>
      </c>
      <c r="L61" s="5">
        <v>0.375</v>
      </c>
      <c r="M61" s="106"/>
    </row>
    <row r="62" spans="2:13" x14ac:dyDescent="0.25">
      <c r="B62" s="92">
        <v>59</v>
      </c>
      <c r="C62" s="15" t="s">
        <v>169</v>
      </c>
      <c r="D62" s="95" t="s">
        <v>19</v>
      </c>
      <c r="E62" s="95" t="s">
        <v>82</v>
      </c>
      <c r="F62" s="177"/>
      <c r="G62" s="16">
        <v>2335</v>
      </c>
      <c r="H62" s="16">
        <v>2335</v>
      </c>
      <c r="I62" s="105">
        <f t="shared" si="0"/>
        <v>0</v>
      </c>
      <c r="J62" s="105">
        <f t="shared" si="3"/>
        <v>0</v>
      </c>
      <c r="K62" s="5">
        <v>0.375</v>
      </c>
      <c r="L62" s="5">
        <v>0.375</v>
      </c>
      <c r="M62" s="86"/>
    </row>
    <row r="63" spans="2:13" x14ac:dyDescent="0.25">
      <c r="B63" s="92">
        <v>60</v>
      </c>
      <c r="C63" s="15" t="s">
        <v>81</v>
      </c>
      <c r="D63" s="95" t="s">
        <v>19</v>
      </c>
      <c r="E63" s="95" t="s">
        <v>76</v>
      </c>
      <c r="F63" s="177"/>
      <c r="G63" s="16">
        <v>136100</v>
      </c>
      <c r="H63" s="16">
        <v>129732</v>
      </c>
      <c r="I63" s="105">
        <f t="shared" si="0"/>
        <v>6368</v>
      </c>
      <c r="J63" s="105">
        <f t="shared" si="3"/>
        <v>6368</v>
      </c>
      <c r="K63" s="5">
        <v>0.375</v>
      </c>
      <c r="L63" s="5">
        <v>0.375</v>
      </c>
      <c r="M63" s="106"/>
    </row>
    <row r="64" spans="2:13" x14ac:dyDescent="0.25">
      <c r="B64" s="92">
        <v>61</v>
      </c>
      <c r="C64" s="15" t="s">
        <v>50</v>
      </c>
      <c r="D64" s="95" t="s">
        <v>19</v>
      </c>
      <c r="E64" s="95" t="s">
        <v>76</v>
      </c>
      <c r="F64" s="177"/>
      <c r="G64" s="105">
        <v>36051</v>
      </c>
      <c r="H64" s="105">
        <v>32684</v>
      </c>
      <c r="I64" s="105">
        <f t="shared" si="0"/>
        <v>3367</v>
      </c>
      <c r="J64" s="105">
        <f>(I64-I65)</f>
        <v>3367</v>
      </c>
      <c r="K64" s="5">
        <v>0.375</v>
      </c>
      <c r="L64" s="5">
        <v>0.375</v>
      </c>
      <c r="M64" s="106" t="s">
        <v>98</v>
      </c>
    </row>
    <row r="65" spans="2:16" x14ac:dyDescent="0.25">
      <c r="B65" s="92">
        <v>62</v>
      </c>
      <c r="C65" s="15" t="s">
        <v>85</v>
      </c>
      <c r="D65" s="95" t="s">
        <v>19</v>
      </c>
      <c r="E65" s="95" t="s">
        <v>82</v>
      </c>
      <c r="F65" s="177"/>
      <c r="G65" s="16">
        <v>12033</v>
      </c>
      <c r="H65" s="16">
        <v>12033</v>
      </c>
      <c r="I65" s="105">
        <f t="shared" si="0"/>
        <v>0</v>
      </c>
      <c r="J65" s="105">
        <f t="shared" ref="J65:J83" si="4">(I65-0)</f>
        <v>0</v>
      </c>
      <c r="K65" s="5">
        <v>0.375</v>
      </c>
      <c r="L65" s="5">
        <v>0.375</v>
      </c>
      <c r="M65" s="106"/>
    </row>
    <row r="66" spans="2:16" x14ac:dyDescent="0.25">
      <c r="B66" s="92">
        <v>63</v>
      </c>
      <c r="C66" s="15" t="s">
        <v>165</v>
      </c>
      <c r="D66" s="95" t="s">
        <v>19</v>
      </c>
      <c r="E66" s="95" t="s">
        <v>82</v>
      </c>
      <c r="F66" s="177"/>
      <c r="G66" s="16">
        <v>201684</v>
      </c>
      <c r="H66" s="16">
        <v>190864</v>
      </c>
      <c r="I66" s="105">
        <f t="shared" si="0"/>
        <v>10820</v>
      </c>
      <c r="J66" s="105">
        <f t="shared" si="4"/>
        <v>10820</v>
      </c>
      <c r="K66" s="5">
        <v>0.375</v>
      </c>
      <c r="L66" s="5">
        <v>0.375</v>
      </c>
      <c r="M66" s="106"/>
    </row>
    <row r="67" spans="2:16" x14ac:dyDescent="0.25">
      <c r="B67" s="92">
        <v>64</v>
      </c>
      <c r="C67" s="15" t="s">
        <v>187</v>
      </c>
      <c r="D67" s="95" t="s">
        <v>19</v>
      </c>
      <c r="E67" s="95" t="s">
        <v>82</v>
      </c>
      <c r="F67" s="177"/>
      <c r="G67" s="16">
        <v>2223</v>
      </c>
      <c r="H67" s="16">
        <v>0</v>
      </c>
      <c r="I67" s="105">
        <f t="shared" si="0"/>
        <v>2223</v>
      </c>
      <c r="J67" s="105">
        <f t="shared" si="4"/>
        <v>2223</v>
      </c>
      <c r="K67" s="5">
        <v>0.375</v>
      </c>
      <c r="L67" s="5">
        <v>0.375</v>
      </c>
      <c r="M67" s="120" t="s">
        <v>186</v>
      </c>
    </row>
    <row r="68" spans="2:16" x14ac:dyDescent="0.25">
      <c r="B68" s="92">
        <v>65</v>
      </c>
      <c r="C68" s="15" t="s">
        <v>87</v>
      </c>
      <c r="D68" s="95" t="s">
        <v>19</v>
      </c>
      <c r="E68" s="95" t="s">
        <v>76</v>
      </c>
      <c r="F68" s="177"/>
      <c r="G68" s="16">
        <v>283741</v>
      </c>
      <c r="H68" s="16">
        <v>282927</v>
      </c>
      <c r="I68" s="105">
        <f t="shared" si="0"/>
        <v>814</v>
      </c>
      <c r="J68" s="105">
        <f>(I68-I73)</f>
        <v>704</v>
      </c>
      <c r="K68" s="5">
        <v>0.375</v>
      </c>
      <c r="L68" s="5">
        <v>0.375</v>
      </c>
      <c r="M68" s="77" t="s">
        <v>176</v>
      </c>
    </row>
    <row r="69" spans="2:16" x14ac:dyDescent="0.25">
      <c r="B69" s="92">
        <v>66</v>
      </c>
      <c r="C69" s="15" t="s">
        <v>95</v>
      </c>
      <c r="D69" s="95" t="s">
        <v>19</v>
      </c>
      <c r="E69" s="95" t="s">
        <v>76</v>
      </c>
      <c r="F69" s="177"/>
      <c r="G69" s="16">
        <v>7458</v>
      </c>
      <c r="H69" s="16">
        <v>4905</v>
      </c>
      <c r="I69" s="105">
        <f t="shared" si="0"/>
        <v>2553</v>
      </c>
      <c r="J69" s="105">
        <f t="shared" si="4"/>
        <v>2553</v>
      </c>
      <c r="K69" s="5">
        <v>0.375</v>
      </c>
      <c r="L69" s="5">
        <v>0.375</v>
      </c>
      <c r="M69" s="86"/>
    </row>
    <row r="70" spans="2:16" x14ac:dyDescent="0.25">
      <c r="B70" s="92">
        <v>67</v>
      </c>
      <c r="C70" s="15" t="s">
        <v>166</v>
      </c>
      <c r="D70" s="95" t="s">
        <v>19</v>
      </c>
      <c r="E70" s="95" t="s">
        <v>82</v>
      </c>
      <c r="F70" s="177"/>
      <c r="G70" s="16">
        <v>32745</v>
      </c>
      <c r="H70" s="16">
        <v>32745</v>
      </c>
      <c r="I70" s="105">
        <f t="shared" si="0"/>
        <v>0</v>
      </c>
      <c r="J70" s="105">
        <f t="shared" si="4"/>
        <v>0</v>
      </c>
      <c r="K70" s="5">
        <v>0.375</v>
      </c>
      <c r="L70" s="5">
        <v>0.375</v>
      </c>
      <c r="M70" s="106"/>
    </row>
    <row r="71" spans="2:16" x14ac:dyDescent="0.25">
      <c r="B71" s="92">
        <v>68</v>
      </c>
      <c r="C71" s="15" t="s">
        <v>167</v>
      </c>
      <c r="D71" s="95" t="s">
        <v>19</v>
      </c>
      <c r="E71" s="95" t="s">
        <v>82</v>
      </c>
      <c r="F71" s="177"/>
      <c r="G71" s="16">
        <v>3509</v>
      </c>
      <c r="H71" s="16">
        <v>3509</v>
      </c>
      <c r="I71" s="105">
        <f t="shared" si="0"/>
        <v>0</v>
      </c>
      <c r="J71" s="105">
        <f>(I71-0)</f>
        <v>0</v>
      </c>
      <c r="K71" s="5">
        <v>0.375</v>
      </c>
      <c r="L71" s="5">
        <v>0.375</v>
      </c>
      <c r="M71" s="106"/>
    </row>
    <row r="72" spans="2:16" x14ac:dyDescent="0.25">
      <c r="B72" s="92">
        <v>69</v>
      </c>
      <c r="C72" s="15" t="s">
        <v>92</v>
      </c>
      <c r="D72" s="95" t="s">
        <v>19</v>
      </c>
      <c r="E72" s="95" t="s">
        <v>76</v>
      </c>
      <c r="F72" s="177"/>
      <c r="G72" s="16">
        <v>48833</v>
      </c>
      <c r="H72" s="16">
        <v>46769</v>
      </c>
      <c r="I72" s="105">
        <f t="shared" ref="I72:I90" si="5">G72-H72</f>
        <v>2064</v>
      </c>
      <c r="J72" s="105">
        <f t="shared" si="4"/>
        <v>2064</v>
      </c>
      <c r="K72" s="5">
        <v>0.375</v>
      </c>
      <c r="L72" s="5">
        <v>0.375</v>
      </c>
      <c r="M72" s="106"/>
    </row>
    <row r="73" spans="2:16" x14ac:dyDescent="0.25">
      <c r="B73" s="92">
        <v>70</v>
      </c>
      <c r="C73" s="15" t="s">
        <v>93</v>
      </c>
      <c r="D73" s="95" t="s">
        <v>19</v>
      </c>
      <c r="E73" s="95" t="s">
        <v>76</v>
      </c>
      <c r="F73" s="177"/>
      <c r="G73" s="16">
        <v>5389</v>
      </c>
      <c r="H73" s="16">
        <v>5279</v>
      </c>
      <c r="I73" s="105">
        <f t="shared" si="5"/>
        <v>110</v>
      </c>
      <c r="J73" s="105">
        <f t="shared" si="4"/>
        <v>110</v>
      </c>
      <c r="K73" s="5">
        <v>0.375</v>
      </c>
      <c r="L73" s="5">
        <v>0.375</v>
      </c>
      <c r="M73" s="106"/>
    </row>
    <row r="74" spans="2:16" ht="15.75" thickBot="1" x14ac:dyDescent="0.3">
      <c r="B74" s="93">
        <v>71</v>
      </c>
      <c r="C74" s="21" t="s">
        <v>37</v>
      </c>
      <c r="D74" s="96" t="s">
        <v>19</v>
      </c>
      <c r="E74" s="96" t="s">
        <v>113</v>
      </c>
      <c r="F74" s="165"/>
      <c r="G74" s="87">
        <v>291999</v>
      </c>
      <c r="H74" s="87">
        <v>286909</v>
      </c>
      <c r="I74" s="2">
        <f t="shared" si="5"/>
        <v>5090</v>
      </c>
      <c r="J74" s="2">
        <f t="shared" si="4"/>
        <v>5090</v>
      </c>
      <c r="K74" s="23">
        <v>0.375</v>
      </c>
      <c r="L74" s="23">
        <v>0.375</v>
      </c>
      <c r="M74" s="30"/>
    </row>
    <row r="75" spans="2:16" ht="15.75" customHeight="1" x14ac:dyDescent="0.25">
      <c r="B75" s="98">
        <v>72</v>
      </c>
      <c r="C75" s="11" t="s">
        <v>163</v>
      </c>
      <c r="D75" s="97" t="s">
        <v>19</v>
      </c>
      <c r="E75" s="97" t="s">
        <v>72</v>
      </c>
      <c r="F75" s="164" t="s">
        <v>161</v>
      </c>
      <c r="G75" s="1">
        <v>85403</v>
      </c>
      <c r="H75" s="1">
        <v>64781</v>
      </c>
      <c r="I75" s="1">
        <f t="shared" si="5"/>
        <v>20622</v>
      </c>
      <c r="J75" s="1">
        <f t="shared" si="4"/>
        <v>20622</v>
      </c>
      <c r="K75" s="9">
        <v>0.375</v>
      </c>
      <c r="L75" s="9">
        <v>0.375</v>
      </c>
      <c r="M75" s="37"/>
    </row>
    <row r="76" spans="2:16" ht="15.75" thickBot="1" x14ac:dyDescent="0.3">
      <c r="B76" s="93">
        <v>73</v>
      </c>
      <c r="C76" s="21" t="s">
        <v>164</v>
      </c>
      <c r="D76" s="96" t="s">
        <v>19</v>
      </c>
      <c r="E76" s="96" t="s">
        <v>72</v>
      </c>
      <c r="F76" s="165"/>
      <c r="G76" s="22">
        <v>93725</v>
      </c>
      <c r="H76" s="22">
        <v>93664</v>
      </c>
      <c r="I76" s="2">
        <f t="shared" si="5"/>
        <v>61</v>
      </c>
      <c r="J76" s="2">
        <f t="shared" si="4"/>
        <v>61</v>
      </c>
      <c r="K76" s="23">
        <v>0.375</v>
      </c>
      <c r="L76" s="23">
        <v>0.375</v>
      </c>
      <c r="M76" s="36"/>
    </row>
    <row r="77" spans="2:16" x14ac:dyDescent="0.25">
      <c r="B77" s="98">
        <v>74</v>
      </c>
      <c r="C77" s="88" t="s">
        <v>159</v>
      </c>
      <c r="D77" s="97" t="s">
        <v>19</v>
      </c>
      <c r="E77" s="97" t="s">
        <v>158</v>
      </c>
      <c r="F77" s="164" t="s">
        <v>188</v>
      </c>
      <c r="G77" s="12">
        <v>519388</v>
      </c>
      <c r="H77" s="12">
        <v>453025</v>
      </c>
      <c r="I77" s="1">
        <f t="shared" si="5"/>
        <v>66363</v>
      </c>
      <c r="J77" s="1">
        <f t="shared" si="4"/>
        <v>66363</v>
      </c>
      <c r="K77" s="9">
        <v>0.375</v>
      </c>
      <c r="L77" s="9">
        <v>0.375</v>
      </c>
      <c r="M77" s="37"/>
      <c r="O77" s="7"/>
      <c r="P77" s="8"/>
    </row>
    <row r="78" spans="2:16" x14ac:dyDescent="0.25">
      <c r="B78" s="92">
        <v>75</v>
      </c>
      <c r="C78" s="94" t="s">
        <v>177</v>
      </c>
      <c r="D78" s="95" t="s">
        <v>19</v>
      </c>
      <c r="E78" s="95" t="s">
        <v>158</v>
      </c>
      <c r="F78" s="177"/>
      <c r="G78" s="16">
        <v>309339</v>
      </c>
      <c r="H78" s="16">
        <v>103758</v>
      </c>
      <c r="I78" s="105">
        <f t="shared" si="5"/>
        <v>205581</v>
      </c>
      <c r="J78" s="105">
        <f>(I78-I76)</f>
        <v>205520</v>
      </c>
      <c r="K78" s="5">
        <v>0.375</v>
      </c>
      <c r="L78" s="5">
        <v>0.375</v>
      </c>
      <c r="M78" s="77"/>
      <c r="O78" s="7"/>
      <c r="P78" s="8"/>
    </row>
    <row r="79" spans="2:16" x14ac:dyDescent="0.25">
      <c r="B79" s="92">
        <v>76</v>
      </c>
      <c r="C79" s="94" t="s">
        <v>135</v>
      </c>
      <c r="D79" s="95" t="s">
        <v>19</v>
      </c>
      <c r="E79" s="95" t="s">
        <v>82</v>
      </c>
      <c r="F79" s="177"/>
      <c r="G79" s="35">
        <v>24256</v>
      </c>
      <c r="H79" s="35">
        <v>21260</v>
      </c>
      <c r="I79" s="105">
        <f t="shared" si="5"/>
        <v>2996</v>
      </c>
      <c r="J79" s="105">
        <f t="shared" si="4"/>
        <v>2996</v>
      </c>
      <c r="K79" s="5">
        <v>0.375</v>
      </c>
      <c r="L79" s="5">
        <v>0.375</v>
      </c>
      <c r="M79" s="86"/>
    </row>
    <row r="80" spans="2:16" ht="15.75" thickBot="1" x14ac:dyDescent="0.3">
      <c r="B80" s="93">
        <v>77</v>
      </c>
      <c r="C80" s="21" t="s">
        <v>160</v>
      </c>
      <c r="D80" s="96" t="s">
        <v>19</v>
      </c>
      <c r="E80" s="96" t="s">
        <v>113</v>
      </c>
      <c r="F80" s="165"/>
      <c r="G80" s="22">
        <v>65603</v>
      </c>
      <c r="H80" s="22">
        <v>64715</v>
      </c>
      <c r="I80" s="2">
        <f t="shared" si="5"/>
        <v>888</v>
      </c>
      <c r="J80" s="2">
        <f t="shared" si="4"/>
        <v>888</v>
      </c>
      <c r="K80" s="23">
        <v>0.375</v>
      </c>
      <c r="L80" s="23">
        <v>0.375</v>
      </c>
      <c r="M80" s="121"/>
    </row>
    <row r="81" spans="2:15" ht="45.75" thickBot="1" x14ac:dyDescent="0.3">
      <c r="B81" s="31">
        <v>78</v>
      </c>
      <c r="C81" s="32" t="s">
        <v>136</v>
      </c>
      <c r="D81" s="10" t="s">
        <v>19</v>
      </c>
      <c r="E81" s="10" t="s">
        <v>52</v>
      </c>
      <c r="F81" s="10" t="s">
        <v>149</v>
      </c>
      <c r="G81" s="10">
        <v>10308</v>
      </c>
      <c r="H81" s="10">
        <v>9216</v>
      </c>
      <c r="I81" s="4">
        <f t="shared" si="5"/>
        <v>1092</v>
      </c>
      <c r="J81" s="4">
        <f t="shared" si="4"/>
        <v>1092</v>
      </c>
      <c r="K81" s="33">
        <v>0.375</v>
      </c>
      <c r="L81" s="33">
        <v>0.375</v>
      </c>
      <c r="M81" s="122"/>
    </row>
    <row r="82" spans="2:15" ht="15.75" thickBot="1" x14ac:dyDescent="0.3">
      <c r="B82" s="123">
        <v>79</v>
      </c>
      <c r="C82" s="124" t="s">
        <v>32</v>
      </c>
      <c r="D82" s="125" t="s">
        <v>19</v>
      </c>
      <c r="E82" s="125" t="s">
        <v>32</v>
      </c>
      <c r="F82" s="125" t="s">
        <v>32</v>
      </c>
      <c r="G82" s="126">
        <v>176060</v>
      </c>
      <c r="H82" s="126">
        <v>172975</v>
      </c>
      <c r="I82" s="112">
        <f t="shared" si="5"/>
        <v>3085</v>
      </c>
      <c r="J82" s="112">
        <f t="shared" si="4"/>
        <v>3085</v>
      </c>
      <c r="K82" s="127">
        <v>0.375</v>
      </c>
      <c r="L82" s="127">
        <v>0.375</v>
      </c>
      <c r="M82" s="128"/>
    </row>
    <row r="83" spans="2:15" ht="15.75" thickBot="1" x14ac:dyDescent="0.3">
      <c r="B83" s="31">
        <v>80</v>
      </c>
      <c r="C83" s="32" t="s">
        <v>31</v>
      </c>
      <c r="D83" s="10" t="s">
        <v>114</v>
      </c>
      <c r="E83" s="10" t="s">
        <v>31</v>
      </c>
      <c r="F83" s="10" t="s">
        <v>31</v>
      </c>
      <c r="G83" s="4">
        <v>319547</v>
      </c>
      <c r="H83" s="4">
        <v>317978</v>
      </c>
      <c r="I83" s="4">
        <f t="shared" si="5"/>
        <v>1569</v>
      </c>
      <c r="J83" s="4">
        <f t="shared" si="4"/>
        <v>1569</v>
      </c>
      <c r="K83" s="33">
        <v>0.375</v>
      </c>
      <c r="L83" s="33">
        <v>0.375</v>
      </c>
      <c r="M83" s="122"/>
    </row>
    <row r="84" spans="2:15" ht="15.75" thickBot="1" x14ac:dyDescent="0.3">
      <c r="B84" s="129">
        <v>81</v>
      </c>
      <c r="C84" s="130" t="s">
        <v>33</v>
      </c>
      <c r="D84" s="131" t="s">
        <v>102</v>
      </c>
      <c r="E84" s="131" t="s">
        <v>100</v>
      </c>
      <c r="F84" s="131" t="s">
        <v>125</v>
      </c>
      <c r="G84" s="132">
        <v>199800</v>
      </c>
      <c r="H84" s="132">
        <v>187311</v>
      </c>
      <c r="I84" s="110">
        <f t="shared" si="5"/>
        <v>12489</v>
      </c>
      <c r="J84" s="110">
        <f>(I84-I85)</f>
        <v>6678</v>
      </c>
      <c r="K84" s="133">
        <v>0.375</v>
      </c>
      <c r="L84" s="133">
        <v>0.375</v>
      </c>
      <c r="M84" s="134" t="s">
        <v>60</v>
      </c>
    </row>
    <row r="85" spans="2:15" ht="30" x14ac:dyDescent="0.25">
      <c r="B85" s="98">
        <v>82</v>
      </c>
      <c r="C85" s="11" t="s">
        <v>34</v>
      </c>
      <c r="D85" s="97" t="s">
        <v>102</v>
      </c>
      <c r="E85" s="97" t="s">
        <v>35</v>
      </c>
      <c r="F85" s="164" t="s">
        <v>126</v>
      </c>
      <c r="G85" s="12">
        <v>347241</v>
      </c>
      <c r="H85" s="12">
        <v>341430</v>
      </c>
      <c r="I85" s="1">
        <f t="shared" si="5"/>
        <v>5811</v>
      </c>
      <c r="J85" s="1">
        <f t="shared" ref="J85:J90" si="6">(I85-0)</f>
        <v>5811</v>
      </c>
      <c r="K85" s="9">
        <v>0.375</v>
      </c>
      <c r="L85" s="9">
        <v>0.375</v>
      </c>
      <c r="M85" s="113"/>
    </row>
    <row r="86" spans="2:15" x14ac:dyDescent="0.25">
      <c r="B86" s="92">
        <v>83</v>
      </c>
      <c r="C86" s="15" t="s">
        <v>61</v>
      </c>
      <c r="D86" s="95" t="s">
        <v>14</v>
      </c>
      <c r="E86" s="95" t="s">
        <v>100</v>
      </c>
      <c r="F86" s="177"/>
      <c r="G86" s="16">
        <v>129380</v>
      </c>
      <c r="H86" s="16">
        <v>126055</v>
      </c>
      <c r="I86" s="105">
        <f t="shared" si="5"/>
        <v>3325</v>
      </c>
      <c r="J86" s="105">
        <f t="shared" si="6"/>
        <v>3325</v>
      </c>
      <c r="K86" s="5">
        <v>0.375</v>
      </c>
      <c r="L86" s="5">
        <v>0.375</v>
      </c>
      <c r="M86" s="86"/>
    </row>
    <row r="87" spans="2:15" x14ac:dyDescent="0.25">
      <c r="B87" s="92">
        <v>84</v>
      </c>
      <c r="C87" s="15" t="s">
        <v>36</v>
      </c>
      <c r="D87" s="95" t="s">
        <v>102</v>
      </c>
      <c r="E87" s="95" t="s">
        <v>111</v>
      </c>
      <c r="F87" s="177"/>
      <c r="G87" s="16">
        <v>163630</v>
      </c>
      <c r="H87" s="16">
        <v>149675</v>
      </c>
      <c r="I87" s="105">
        <f t="shared" si="5"/>
        <v>13955</v>
      </c>
      <c r="J87" s="105">
        <f t="shared" si="6"/>
        <v>13955</v>
      </c>
      <c r="K87" s="5">
        <v>0.375</v>
      </c>
      <c r="L87" s="5">
        <v>0.375</v>
      </c>
      <c r="M87" s="77"/>
    </row>
    <row r="88" spans="2:15" x14ac:dyDescent="0.25">
      <c r="B88" s="92">
        <v>85</v>
      </c>
      <c r="C88" s="15" t="s">
        <v>89</v>
      </c>
      <c r="D88" s="95" t="s">
        <v>90</v>
      </c>
      <c r="E88" s="95" t="s">
        <v>100</v>
      </c>
      <c r="F88" s="177"/>
      <c r="G88" s="16">
        <v>15002</v>
      </c>
      <c r="H88" s="16">
        <v>5632</v>
      </c>
      <c r="I88" s="105">
        <f t="shared" si="5"/>
        <v>9370</v>
      </c>
      <c r="J88" s="105">
        <f t="shared" si="6"/>
        <v>9370</v>
      </c>
      <c r="K88" s="5">
        <v>0.375</v>
      </c>
      <c r="L88" s="5">
        <v>0.375</v>
      </c>
      <c r="M88" s="77"/>
    </row>
    <row r="89" spans="2:15" s="20" customFormat="1" x14ac:dyDescent="0.25">
      <c r="B89" s="92">
        <v>86</v>
      </c>
      <c r="C89" s="15" t="s">
        <v>127</v>
      </c>
      <c r="D89" s="95" t="s">
        <v>90</v>
      </c>
      <c r="E89" s="95" t="s">
        <v>128</v>
      </c>
      <c r="F89" s="177"/>
      <c r="G89" s="16">
        <v>85523</v>
      </c>
      <c r="H89" s="16">
        <v>82229</v>
      </c>
      <c r="I89" s="105">
        <f t="shared" si="5"/>
        <v>3294</v>
      </c>
      <c r="J89" s="105">
        <f t="shared" si="6"/>
        <v>3294</v>
      </c>
      <c r="K89" s="5">
        <v>0.375</v>
      </c>
      <c r="L89" s="5">
        <v>0.375</v>
      </c>
      <c r="M89" s="77"/>
    </row>
    <row r="90" spans="2:15" ht="15.75" thickBot="1" x14ac:dyDescent="0.3">
      <c r="B90" s="93">
        <v>87</v>
      </c>
      <c r="C90" s="21" t="s">
        <v>38</v>
      </c>
      <c r="D90" s="96" t="s">
        <v>90</v>
      </c>
      <c r="E90" s="96" t="s">
        <v>38</v>
      </c>
      <c r="F90" s="165"/>
      <c r="G90" s="2">
        <v>261979</v>
      </c>
      <c r="H90" s="2">
        <v>260075</v>
      </c>
      <c r="I90" s="2">
        <f t="shared" si="5"/>
        <v>1904</v>
      </c>
      <c r="J90" s="2">
        <f t="shared" si="6"/>
        <v>1904</v>
      </c>
      <c r="K90" s="23">
        <v>0.375</v>
      </c>
      <c r="L90" s="23">
        <v>0.375</v>
      </c>
      <c r="M90" s="30"/>
    </row>
    <row r="91" spans="2:15" ht="16.5" thickBot="1" x14ac:dyDescent="0.3">
      <c r="G91" s="8"/>
      <c r="H91" s="178" t="s">
        <v>39</v>
      </c>
      <c r="I91" s="179"/>
      <c r="J91" s="38">
        <f>SUM(J4:J90)</f>
        <v>2094476</v>
      </c>
      <c r="N91" s="39"/>
      <c r="O91" s="40"/>
    </row>
    <row r="92" spans="2:15" ht="16.5" thickBot="1" x14ac:dyDescent="0.3">
      <c r="H92" s="41"/>
      <c r="I92" s="40"/>
      <c r="J92" s="40"/>
      <c r="N92" s="39"/>
      <c r="O92" s="42"/>
    </row>
    <row r="93" spans="2:15" ht="16.5" thickBot="1" x14ac:dyDescent="0.3">
      <c r="B93" s="170" t="s">
        <v>62</v>
      </c>
      <c r="C93" s="171"/>
      <c r="D93" s="172"/>
      <c r="H93" s="173"/>
      <c r="I93" s="173"/>
      <c r="J93" s="173"/>
    </row>
    <row r="94" spans="2:15" x14ac:dyDescent="0.25">
      <c r="B94" s="98">
        <v>1</v>
      </c>
      <c r="C94" s="11" t="s">
        <v>40</v>
      </c>
      <c r="D94" s="11"/>
      <c r="E94" s="11" t="s">
        <v>41</v>
      </c>
      <c r="F94" s="11"/>
      <c r="G94" s="1">
        <v>34139375</v>
      </c>
      <c r="H94" s="1">
        <v>33485669</v>
      </c>
      <c r="I94" s="43">
        <f>G94-H94</f>
        <v>653706</v>
      </c>
      <c r="J94" s="43">
        <f>(I94-0)</f>
        <v>653706</v>
      </c>
      <c r="K94" s="44">
        <v>0.375</v>
      </c>
      <c r="L94" s="44">
        <v>0.375</v>
      </c>
      <c r="M94" s="45"/>
      <c r="N94" s="46"/>
    </row>
    <row r="95" spans="2:15" x14ac:dyDescent="0.25">
      <c r="B95" s="92">
        <v>2</v>
      </c>
      <c r="C95" s="15" t="s">
        <v>42</v>
      </c>
      <c r="D95" s="15"/>
      <c r="E95" s="15" t="s">
        <v>41</v>
      </c>
      <c r="F95" s="15"/>
      <c r="G95" s="105">
        <v>44379755</v>
      </c>
      <c r="H95" s="105">
        <v>43649750</v>
      </c>
      <c r="I95" s="47">
        <f>G95-H95</f>
        <v>730005</v>
      </c>
      <c r="J95" s="47">
        <f>(I95-0)</f>
        <v>730005</v>
      </c>
      <c r="K95" s="48">
        <v>0.375</v>
      </c>
      <c r="L95" s="48">
        <v>0.375</v>
      </c>
      <c r="M95" s="49"/>
    </row>
    <row r="96" spans="2:15" x14ac:dyDescent="0.25">
      <c r="B96" s="92">
        <v>3</v>
      </c>
      <c r="C96" s="15" t="s">
        <v>43</v>
      </c>
      <c r="D96" s="15"/>
      <c r="E96" s="15" t="s">
        <v>19</v>
      </c>
      <c r="F96" s="15"/>
      <c r="G96" s="95">
        <v>67062251</v>
      </c>
      <c r="H96" s="95">
        <v>66465592</v>
      </c>
      <c r="I96" s="47">
        <f>G96-H96</f>
        <v>596659</v>
      </c>
      <c r="J96" s="47">
        <f>(I96-0)</f>
        <v>596659</v>
      </c>
      <c r="K96" s="48">
        <v>0.375</v>
      </c>
      <c r="L96" s="48">
        <v>0.375</v>
      </c>
      <c r="M96" s="49"/>
    </row>
    <row r="97" spans="2:14" ht="15.75" thickBot="1" x14ac:dyDescent="0.3">
      <c r="B97" s="93">
        <v>4</v>
      </c>
      <c r="C97" s="21" t="s">
        <v>115</v>
      </c>
      <c r="D97" s="96"/>
      <c r="E97" s="21" t="s">
        <v>100</v>
      </c>
      <c r="F97" s="21"/>
      <c r="G97" s="96">
        <v>2363900</v>
      </c>
      <c r="H97" s="96">
        <v>2291797</v>
      </c>
      <c r="I97" s="28">
        <f>G97-H97</f>
        <v>72103</v>
      </c>
      <c r="J97" s="28">
        <f>(I97-0)</f>
        <v>72103</v>
      </c>
      <c r="K97" s="50">
        <v>0.375</v>
      </c>
      <c r="L97" s="50">
        <v>0.375</v>
      </c>
      <c r="M97" s="51"/>
      <c r="N97" s="46">
        <f>(J98+J108+J120)-J91</f>
        <v>29774</v>
      </c>
    </row>
    <row r="98" spans="2:14" ht="16.5" thickBot="1" x14ac:dyDescent="0.3">
      <c r="B98" s="20"/>
      <c r="C98" s="52"/>
      <c r="D98" s="52"/>
      <c r="E98" s="52"/>
      <c r="F98" s="52"/>
      <c r="H98" s="174" t="s">
        <v>63</v>
      </c>
      <c r="I98" s="175"/>
      <c r="J98" s="53">
        <f>SUM(J94:J97)</f>
        <v>2052473</v>
      </c>
      <c r="K98" s="176"/>
      <c r="L98" s="176"/>
      <c r="M98" s="176"/>
      <c r="N98" s="46"/>
    </row>
    <row r="99" spans="2:14" ht="16.5" thickBot="1" x14ac:dyDescent="0.3">
      <c r="B99" s="20"/>
      <c r="C99" s="52"/>
      <c r="D99" s="52"/>
      <c r="E99" s="52"/>
      <c r="F99" s="52"/>
      <c r="H99" s="40"/>
      <c r="I99" s="40"/>
      <c r="J99" s="40"/>
      <c r="K99" s="176"/>
      <c r="L99" s="176"/>
      <c r="M99" s="176"/>
      <c r="N99" s="46"/>
    </row>
    <row r="100" spans="2:14" ht="16.5" thickBot="1" x14ac:dyDescent="0.3">
      <c r="B100" s="170" t="s">
        <v>44</v>
      </c>
      <c r="C100" s="171"/>
      <c r="D100" s="172"/>
      <c r="H100" s="173"/>
      <c r="I100" s="173"/>
      <c r="J100" s="173"/>
    </row>
    <row r="101" spans="2:14" ht="15.75" x14ac:dyDescent="0.25">
      <c r="B101" s="54">
        <v>1</v>
      </c>
      <c r="C101" s="11" t="s">
        <v>45</v>
      </c>
      <c r="D101" s="11"/>
      <c r="E101" s="11" t="s">
        <v>46</v>
      </c>
      <c r="F101" s="11"/>
      <c r="G101" s="1">
        <v>76430066</v>
      </c>
      <c r="H101" s="1">
        <v>74772107</v>
      </c>
      <c r="I101" s="43">
        <f>G101-H101</f>
        <v>1657959</v>
      </c>
      <c r="J101" s="43">
        <f>(I101-0)</f>
        <v>1657959</v>
      </c>
      <c r="K101" s="44">
        <v>0.375</v>
      </c>
      <c r="L101" s="44">
        <v>0.375</v>
      </c>
      <c r="M101" s="45"/>
    </row>
    <row r="102" spans="2:14" ht="15.75" thickBot="1" x14ac:dyDescent="0.3">
      <c r="B102" s="93">
        <v>2</v>
      </c>
      <c r="C102" s="21" t="s">
        <v>47</v>
      </c>
      <c r="D102" s="21"/>
      <c r="E102" s="21" t="s">
        <v>48</v>
      </c>
      <c r="F102" s="21"/>
      <c r="G102" s="2">
        <v>69504598</v>
      </c>
      <c r="H102" s="2">
        <v>67866615</v>
      </c>
      <c r="I102" s="28">
        <f>G102-H102</f>
        <v>1637983</v>
      </c>
      <c r="J102" s="28">
        <f>(I102-0)</f>
        <v>1637983</v>
      </c>
      <c r="K102" s="50">
        <v>0.375</v>
      </c>
      <c r="L102" s="50">
        <v>0.375</v>
      </c>
      <c r="M102" s="51"/>
    </row>
    <row r="103" spans="2:14" ht="15.75" customHeight="1" thickBot="1" x14ac:dyDescent="0.3">
      <c r="B103" s="20"/>
      <c r="H103" s="178" t="s">
        <v>49</v>
      </c>
      <c r="I103" s="217"/>
      <c r="J103" s="89">
        <f>(J101-J102)</f>
        <v>19976</v>
      </c>
      <c r="K103" s="55"/>
      <c r="L103" s="55"/>
      <c r="M103" s="55"/>
    </row>
    <row r="104" spans="2:14" ht="15.75" customHeight="1" thickBot="1" x14ac:dyDescent="0.3">
      <c r="B104" s="149" t="s">
        <v>181</v>
      </c>
      <c r="C104" s="150"/>
      <c r="D104" s="151"/>
      <c r="H104" s="152"/>
      <c r="I104" s="152"/>
      <c r="J104" s="152"/>
      <c r="K104" s="55"/>
      <c r="L104" s="55"/>
      <c r="M104" s="55"/>
    </row>
    <row r="105" spans="2:14" ht="22.5" customHeight="1" thickBot="1" x14ac:dyDescent="0.3">
      <c r="B105" s="31">
        <v>1</v>
      </c>
      <c r="C105" s="32" t="s">
        <v>47</v>
      </c>
      <c r="D105" s="24"/>
      <c r="E105" s="32" t="s">
        <v>48</v>
      </c>
      <c r="F105" s="24"/>
      <c r="G105" s="4">
        <v>0</v>
      </c>
      <c r="H105" s="4">
        <v>0</v>
      </c>
      <c r="I105" s="58">
        <f>G105-H105</f>
        <v>0</v>
      </c>
      <c r="J105" s="59">
        <f>I105-0</f>
        <v>0</v>
      </c>
      <c r="K105" s="33">
        <v>0.375</v>
      </c>
      <c r="L105" s="33">
        <v>0.375</v>
      </c>
      <c r="M105" s="60"/>
    </row>
    <row r="106" spans="2:14" ht="15.75" customHeight="1" thickBot="1" x14ac:dyDescent="0.3">
      <c r="B106" s="20"/>
      <c r="H106" s="56"/>
      <c r="I106" s="56"/>
      <c r="J106" s="57"/>
      <c r="K106" s="55"/>
      <c r="L106" s="55"/>
      <c r="M106" s="55"/>
    </row>
    <row r="107" spans="2:14" ht="15.75" customHeight="1" thickBot="1" x14ac:dyDescent="0.3">
      <c r="B107" s="149" t="s">
        <v>170</v>
      </c>
      <c r="C107" s="150"/>
      <c r="D107" s="151"/>
      <c r="H107" s="152"/>
      <c r="I107" s="152"/>
      <c r="J107" s="152"/>
      <c r="K107" s="55"/>
      <c r="L107" s="55"/>
      <c r="M107" s="55"/>
    </row>
    <row r="108" spans="2:14" ht="22.5" customHeight="1" x14ac:dyDescent="0.25">
      <c r="B108" s="156">
        <v>1</v>
      </c>
      <c r="C108" s="164" t="s">
        <v>171</v>
      </c>
      <c r="D108" s="166"/>
      <c r="E108" s="164" t="s">
        <v>182</v>
      </c>
      <c r="F108" s="166"/>
      <c r="G108" s="1">
        <v>204986</v>
      </c>
      <c r="H108" s="1">
        <v>167902</v>
      </c>
      <c r="I108" s="135">
        <f>G108-H108</f>
        <v>37084</v>
      </c>
      <c r="J108" s="168">
        <f>I108+I109</f>
        <v>71777</v>
      </c>
      <c r="K108" s="9">
        <v>0.375</v>
      </c>
      <c r="L108" s="9">
        <v>0.375</v>
      </c>
      <c r="M108" s="136"/>
    </row>
    <row r="109" spans="2:14" ht="22.5" customHeight="1" thickBot="1" x14ac:dyDescent="0.3">
      <c r="B109" s="157"/>
      <c r="C109" s="165"/>
      <c r="D109" s="167"/>
      <c r="E109" s="165"/>
      <c r="F109" s="167"/>
      <c r="G109" s="2">
        <v>34693</v>
      </c>
      <c r="H109" s="2">
        <v>0</v>
      </c>
      <c r="I109" s="137">
        <f>G109-H109</f>
        <v>34693</v>
      </c>
      <c r="J109" s="169"/>
      <c r="K109" s="23">
        <v>0.375</v>
      </c>
      <c r="L109" s="23">
        <v>0.375</v>
      </c>
      <c r="M109" s="138" t="s">
        <v>189</v>
      </c>
    </row>
    <row r="110" spans="2:14" ht="15.75" customHeight="1" thickBot="1" x14ac:dyDescent="0.3">
      <c r="B110" s="20"/>
      <c r="H110" s="56"/>
      <c r="I110" s="56"/>
      <c r="J110" s="57"/>
      <c r="K110" s="55"/>
      <c r="L110" s="55"/>
      <c r="M110" s="55"/>
    </row>
    <row r="111" spans="2:14" ht="15.75" customHeight="1" thickBot="1" x14ac:dyDescent="0.3">
      <c r="B111" s="149" t="s">
        <v>150</v>
      </c>
      <c r="C111" s="150"/>
      <c r="D111" s="151"/>
      <c r="H111" s="152"/>
      <c r="I111" s="152"/>
      <c r="J111" s="152"/>
      <c r="K111" s="55"/>
      <c r="L111" s="55"/>
      <c r="M111" s="55"/>
    </row>
    <row r="112" spans="2:14" ht="22.5" customHeight="1" thickBot="1" x14ac:dyDescent="0.3">
      <c r="B112" s="31">
        <v>1</v>
      </c>
      <c r="C112" s="32" t="s">
        <v>47</v>
      </c>
      <c r="D112" s="24"/>
      <c r="E112" s="32" t="s">
        <v>48</v>
      </c>
      <c r="F112" s="24"/>
      <c r="G112" s="4">
        <v>0</v>
      </c>
      <c r="H112" s="4">
        <v>0</v>
      </c>
      <c r="I112" s="58">
        <f>G112-H112</f>
        <v>0</v>
      </c>
      <c r="J112" s="61">
        <f>I112-0</f>
        <v>0</v>
      </c>
      <c r="K112" s="33">
        <v>0.375</v>
      </c>
      <c r="L112" s="33">
        <v>0.375</v>
      </c>
      <c r="M112" s="60"/>
    </row>
    <row r="113" spans="2:15" ht="15.75" customHeight="1" thickBot="1" x14ac:dyDescent="0.3">
      <c r="B113" s="20"/>
      <c r="H113" s="56"/>
      <c r="I113" s="56"/>
      <c r="K113" s="55"/>
      <c r="L113" s="55"/>
      <c r="M113" s="55"/>
      <c r="O113" s="46"/>
    </row>
    <row r="114" spans="2:15" ht="16.5" thickBot="1" x14ac:dyDescent="0.3">
      <c r="B114" s="153" t="s">
        <v>64</v>
      </c>
      <c r="C114" s="154"/>
      <c r="D114" s="155"/>
      <c r="H114" s="152"/>
      <c r="I114" s="152"/>
      <c r="J114" s="152"/>
      <c r="K114" s="62"/>
      <c r="L114" s="62"/>
      <c r="M114" s="62"/>
    </row>
    <row r="115" spans="2:15" ht="15.75" x14ac:dyDescent="0.25">
      <c r="B115" s="156">
        <v>1</v>
      </c>
      <c r="C115" s="158" t="s">
        <v>65</v>
      </c>
      <c r="D115" s="160"/>
      <c r="E115" s="162" t="s">
        <v>66</v>
      </c>
      <c r="F115" s="43" t="s">
        <v>67</v>
      </c>
      <c r="G115" s="43">
        <v>3748.29</v>
      </c>
      <c r="H115" s="43">
        <v>3737.16</v>
      </c>
      <c r="I115" s="63">
        <f>G115-H115</f>
        <v>11.130000000000109</v>
      </c>
      <c r="J115" s="64">
        <f>I115*8000</f>
        <v>89040.000000000873</v>
      </c>
      <c r="K115" s="219">
        <v>0.375</v>
      </c>
      <c r="L115" s="219">
        <v>0.375</v>
      </c>
      <c r="M115" s="65"/>
    </row>
    <row r="116" spans="2:15" ht="16.5" thickBot="1" x14ac:dyDescent="0.3">
      <c r="B116" s="157"/>
      <c r="C116" s="159"/>
      <c r="D116" s="161"/>
      <c r="E116" s="163"/>
      <c r="F116" s="28" t="s">
        <v>68</v>
      </c>
      <c r="G116" s="28">
        <v>20697.59</v>
      </c>
      <c r="H116" s="28">
        <v>20651.060000000001</v>
      </c>
      <c r="I116" s="66">
        <f>G116-H116</f>
        <v>46.529999999998836</v>
      </c>
      <c r="J116" s="28">
        <f>I116*8000</f>
        <v>372239.99999999069</v>
      </c>
      <c r="K116" s="220"/>
      <c r="L116" s="220"/>
      <c r="M116" s="67"/>
    </row>
    <row r="117" spans="2:15" ht="16.5" thickBot="1" x14ac:dyDescent="0.3">
      <c r="B117" s="20"/>
      <c r="H117" s="221" t="s">
        <v>172</v>
      </c>
      <c r="I117" s="222"/>
      <c r="J117" s="90">
        <f>J115+J116</f>
        <v>461279.99999999156</v>
      </c>
      <c r="K117" s="62"/>
      <c r="L117" s="62"/>
      <c r="M117" s="62"/>
    </row>
    <row r="118" spans="2:15" ht="16.5" thickBot="1" x14ac:dyDescent="0.3">
      <c r="B118" s="20"/>
      <c r="H118" s="91"/>
      <c r="I118" s="91"/>
      <c r="K118" s="62"/>
      <c r="L118" s="62"/>
      <c r="M118" s="62"/>
    </row>
    <row r="119" spans="2:15" ht="15.75" customHeight="1" thickBot="1" x14ac:dyDescent="0.3">
      <c r="B119" s="149" t="s">
        <v>173</v>
      </c>
      <c r="C119" s="150"/>
      <c r="D119" s="151"/>
      <c r="H119" s="152"/>
      <c r="I119" s="152"/>
      <c r="J119" s="152"/>
      <c r="K119" s="55"/>
      <c r="L119" s="55"/>
      <c r="M119" s="55"/>
    </row>
    <row r="120" spans="2:15" ht="22.5" customHeight="1" thickBot="1" x14ac:dyDescent="0.3">
      <c r="B120" s="31">
        <v>1</v>
      </c>
      <c r="C120" s="223" t="s">
        <v>174</v>
      </c>
      <c r="D120" s="224"/>
      <c r="E120" s="224"/>
      <c r="F120" s="224"/>
      <c r="G120" s="224"/>
      <c r="H120" s="224"/>
      <c r="I120" s="225"/>
      <c r="J120" s="59">
        <v>0</v>
      </c>
      <c r="K120" s="226"/>
      <c r="L120" s="227"/>
      <c r="M120" s="228"/>
    </row>
    <row r="121" spans="2:15" ht="15.75" x14ac:dyDescent="0.25">
      <c r="B121" s="20"/>
      <c r="H121" s="91"/>
      <c r="I121" s="91"/>
      <c r="K121" s="62"/>
      <c r="L121" s="62"/>
      <c r="M121" s="62"/>
    </row>
    <row r="122" spans="2:15" ht="15.75" thickBot="1" x14ac:dyDescent="0.3">
      <c r="B122" s="20"/>
      <c r="H122" s="56"/>
      <c r="I122" s="56"/>
      <c r="K122" s="68"/>
      <c r="L122" s="68"/>
      <c r="M122" s="68"/>
    </row>
    <row r="123" spans="2:15" x14ac:dyDescent="0.25">
      <c r="B123" s="139" t="s">
        <v>178</v>
      </c>
      <c r="C123" s="140"/>
      <c r="D123" s="141"/>
      <c r="E123" s="142"/>
      <c r="G123" s="143"/>
      <c r="H123" s="143"/>
      <c r="I123" s="144"/>
      <c r="J123" s="144"/>
      <c r="L123" s="139" t="s">
        <v>179</v>
      </c>
      <c r="M123" s="142"/>
    </row>
    <row r="124" spans="2:15" ht="15.75" thickBot="1" x14ac:dyDescent="0.3">
      <c r="B124" s="145">
        <f>(J98+J120+J108-J91)/(J98+J120+J108)</f>
        <v>1.4016241026244557E-2</v>
      </c>
      <c r="C124" s="146"/>
      <c r="D124" s="146"/>
      <c r="E124" s="147"/>
      <c r="G124" s="148"/>
      <c r="H124" s="148"/>
      <c r="I124" s="148"/>
      <c r="J124" s="69"/>
      <c r="L124" s="70" t="s">
        <v>69</v>
      </c>
      <c r="M124" s="71">
        <f>(J101+J117+J120+J112+J108)</f>
        <v>2191015.9999999916</v>
      </c>
    </row>
    <row r="125" spans="2:15" ht="15.75" thickBot="1" x14ac:dyDescent="0.3">
      <c r="M125" s="6" t="s">
        <v>162</v>
      </c>
    </row>
    <row r="126" spans="2:15" x14ac:dyDescent="0.25">
      <c r="B126" s="139" t="s">
        <v>70</v>
      </c>
      <c r="C126" s="140"/>
      <c r="D126" s="141"/>
      <c r="E126" s="142"/>
      <c r="F126" s="41"/>
      <c r="G126" s="182" t="s">
        <v>175</v>
      </c>
      <c r="H126" s="183"/>
      <c r="I126" s="183"/>
      <c r="J126" s="184"/>
      <c r="L126" s="139" t="s">
        <v>71</v>
      </c>
      <c r="M126" s="142"/>
    </row>
    <row r="127" spans="2:15" ht="15.75" thickBot="1" x14ac:dyDescent="0.3">
      <c r="B127" s="145">
        <f>(J101+J117+J112+J108+J120-(J98+J108+J120))/(J101+J117+J112+J108+J120)</f>
        <v>3.0472620921066697E-2</v>
      </c>
      <c r="C127" s="146"/>
      <c r="D127" s="146"/>
      <c r="E127" s="147"/>
      <c r="F127" s="72"/>
      <c r="G127" s="185">
        <f>M124-J91</f>
        <v>96539.999999991618</v>
      </c>
      <c r="H127" s="186"/>
      <c r="I127" s="186"/>
      <c r="J127" s="187"/>
      <c r="L127" s="188">
        <f>(M124-J91)/M124</f>
        <v>4.4061750347780204E-2</v>
      </c>
      <c r="M127" s="189"/>
    </row>
    <row r="129" spans="7:13" ht="15.75" x14ac:dyDescent="0.25">
      <c r="G129" s="180"/>
      <c r="H129" s="180"/>
      <c r="I129" s="180"/>
      <c r="J129" s="180"/>
    </row>
    <row r="130" spans="7:13" x14ac:dyDescent="0.25">
      <c r="G130" s="181"/>
      <c r="H130" s="181"/>
      <c r="I130" s="181"/>
      <c r="J130" s="181"/>
      <c r="M130" s="73"/>
    </row>
    <row r="137" spans="7:13" x14ac:dyDescent="0.25">
      <c r="K137" s="46"/>
    </row>
    <row r="138" spans="7:13" x14ac:dyDescent="0.25">
      <c r="K138" s="74"/>
    </row>
  </sheetData>
  <mergeCells count="81">
    <mergeCell ref="C120:I120"/>
    <mergeCell ref="K120:M120"/>
    <mergeCell ref="Q39:Q42"/>
    <mergeCell ref="R39:R42"/>
    <mergeCell ref="S39:S42"/>
    <mergeCell ref="H103:I103"/>
    <mergeCell ref="F39:F42"/>
    <mergeCell ref="N41:N42"/>
    <mergeCell ref="F43:F45"/>
    <mergeCell ref="Q33:Q38"/>
    <mergeCell ref="N34:N35"/>
    <mergeCell ref="O34:O35"/>
    <mergeCell ref="R27:R32"/>
    <mergeCell ref="S27:S32"/>
    <mergeCell ref="R33:R38"/>
    <mergeCell ref="S33:S38"/>
    <mergeCell ref="P34:P35"/>
    <mergeCell ref="O26:P26"/>
    <mergeCell ref="F27:F32"/>
    <mergeCell ref="Q27:Q32"/>
    <mergeCell ref="N28:N29"/>
    <mergeCell ref="O28:O29"/>
    <mergeCell ref="P28:P29"/>
    <mergeCell ref="B119:D119"/>
    <mergeCell ref="B1:L1"/>
    <mergeCell ref="F2:F3"/>
    <mergeCell ref="M2:M3"/>
    <mergeCell ref="B2:B3"/>
    <mergeCell ref="C2:C3"/>
    <mergeCell ref="D2:D3"/>
    <mergeCell ref="E2:E3"/>
    <mergeCell ref="F4:F25"/>
    <mergeCell ref="F33:F38"/>
    <mergeCell ref="H119:J119"/>
    <mergeCell ref="K115:K116"/>
    <mergeCell ref="L115:L116"/>
    <mergeCell ref="H117:I117"/>
    <mergeCell ref="G129:J129"/>
    <mergeCell ref="G130:J130"/>
    <mergeCell ref="B126:E126"/>
    <mergeCell ref="G126:J126"/>
    <mergeCell ref="L126:M126"/>
    <mergeCell ref="B127:E127"/>
    <mergeCell ref="G127:J127"/>
    <mergeCell ref="L127:M127"/>
    <mergeCell ref="F46:F47"/>
    <mergeCell ref="F49:F74"/>
    <mergeCell ref="F77:F80"/>
    <mergeCell ref="F85:F90"/>
    <mergeCell ref="H91:I91"/>
    <mergeCell ref="F75:F76"/>
    <mergeCell ref="B93:D93"/>
    <mergeCell ref="H93:J93"/>
    <mergeCell ref="H98:I98"/>
    <mergeCell ref="K98:M99"/>
    <mergeCell ref="B100:D100"/>
    <mergeCell ref="H100:J100"/>
    <mergeCell ref="B104:D104"/>
    <mergeCell ref="H104:J104"/>
    <mergeCell ref="B107:D107"/>
    <mergeCell ref="H107:J107"/>
    <mergeCell ref="B108:B109"/>
    <mergeCell ref="C108:C109"/>
    <mergeCell ref="D108:D109"/>
    <mergeCell ref="E108:E109"/>
    <mergeCell ref="F108:F109"/>
    <mergeCell ref="J108:J109"/>
    <mergeCell ref="B111:D111"/>
    <mergeCell ref="H111:J111"/>
    <mergeCell ref="B114:D114"/>
    <mergeCell ref="H114:J114"/>
    <mergeCell ref="B115:B116"/>
    <mergeCell ref="C115:C116"/>
    <mergeCell ref="D115:D116"/>
    <mergeCell ref="E115:E116"/>
    <mergeCell ref="B123:E123"/>
    <mergeCell ref="G123:H123"/>
    <mergeCell ref="I123:J123"/>
    <mergeCell ref="L123:M123"/>
    <mergeCell ref="B124:E124"/>
    <mergeCell ref="G124:I124"/>
  </mergeCells>
  <pageMargins left="0.7" right="0.7" top="0.75" bottom="0.75" header="0.3" footer="0.3"/>
  <pageSetup paperSize="9" scale="2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2026-05-09T10:29:41Z</dcterms:modified>
</cp:coreProperties>
</file>