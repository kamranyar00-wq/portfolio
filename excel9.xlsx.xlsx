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Z:\MOR Monthly Opreational Review\Monthly Opreational Review 2026\MOR APR 2026\"/>
    </mc:Choice>
  </mc:AlternateContent>
  <xr:revisionPtr revIDLastSave="0" documentId="13_ncr:1_{AE1BB01F-B3B2-4550-9AB6-5B4F8A5B271B}" xr6:coauthVersionLast="47" xr6:coauthVersionMax="47" xr10:uidLastSave="{00000000-0000-0000-0000-000000000000}"/>
  <bookViews>
    <workbookView xWindow="-120" yWindow="-120" windowWidth="25440" windowHeight="15540" firstSheet="8" activeTab="14" xr2:uid="{D9FE768E-9B35-40CE-BC29-14F01F951B42}"/>
  </bookViews>
  <sheets>
    <sheet name="JANUARY" sheetId="3" r:id="rId1"/>
    <sheet name="FEBRUARY" sheetId="4" r:id="rId2"/>
    <sheet name="MARCH" sheetId="5" r:id="rId3"/>
    <sheet name="APRIL" sheetId="6" r:id="rId4"/>
    <sheet name="MAY" sheetId="1" r:id="rId5"/>
    <sheet name="JUNE" sheetId="2" r:id="rId6"/>
    <sheet name="July" sheetId="9" r:id="rId7"/>
    <sheet name="Aug" sheetId="10" r:id="rId8"/>
    <sheet name="Aug Sohail sab" sheetId="11" r:id="rId9"/>
    <sheet name="Sep Sohail sb" sheetId="12" r:id="rId10"/>
    <sheet name="Oct Sohail sb" sheetId="13" r:id="rId11"/>
    <sheet name="Summary" sheetId="7" r:id="rId12"/>
    <sheet name="January 2026" sheetId="15" r:id="rId13"/>
    <sheet name="March 2026" sheetId="16" r:id="rId14"/>
    <sheet name="April 2026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8" l="1"/>
  <c r="B20" i="18"/>
  <c r="C15" i="18"/>
  <c r="C21" i="18" s="1"/>
  <c r="C22" i="18" s="1"/>
  <c r="B15" i="18"/>
  <c r="C13" i="18"/>
  <c r="B13" i="18"/>
  <c r="B9" i="18"/>
  <c r="B8" i="18"/>
  <c r="B11" i="18" s="1"/>
  <c r="C4" i="18"/>
  <c r="B4" i="18"/>
  <c r="B23" i="16"/>
  <c r="B17" i="16"/>
  <c r="B23" i="18" l="1"/>
  <c r="C10" i="18"/>
  <c r="C11" i="18" s="1"/>
  <c r="C24" i="18" s="1"/>
  <c r="C23" i="18"/>
  <c r="B22" i="18"/>
  <c r="B24" i="18" s="1"/>
  <c r="B26" i="18" s="1"/>
  <c r="B20" i="16"/>
  <c r="B19" i="16"/>
  <c r="C15" i="16"/>
  <c r="C21" i="16" s="1"/>
  <c r="C22" i="16" s="1"/>
  <c r="B15" i="16"/>
  <c r="C13" i="16"/>
  <c r="B13" i="16"/>
  <c r="B9" i="16"/>
  <c r="B8" i="16"/>
  <c r="B11" i="16" s="1"/>
  <c r="C4" i="16"/>
  <c r="C10" i="16" s="1"/>
  <c r="C11" i="16" s="1"/>
  <c r="B4" i="16"/>
  <c r="B20" i="15"/>
  <c r="B19" i="15"/>
  <c r="B22" i="15" s="1"/>
  <c r="B17" i="15"/>
  <c r="C15" i="15"/>
  <c r="C21" i="15" s="1"/>
  <c r="C22" i="15" s="1"/>
  <c r="B15" i="15"/>
  <c r="B23" i="15" s="1"/>
  <c r="C13" i="15"/>
  <c r="B13" i="15"/>
  <c r="B11" i="15"/>
  <c r="B24" i="15" s="1"/>
  <c r="B26" i="15" s="1"/>
  <c r="B9" i="15"/>
  <c r="B8" i="15"/>
  <c r="C4" i="15"/>
  <c r="C10" i="15" s="1"/>
  <c r="C11" i="15" s="1"/>
  <c r="B4" i="15"/>
  <c r="E11" i="7"/>
  <c r="D11" i="7"/>
  <c r="F11" i="7" s="1"/>
  <c r="C11" i="7"/>
  <c r="E10" i="7"/>
  <c r="D10" i="7"/>
  <c r="C10" i="7"/>
  <c r="E9" i="7"/>
  <c r="F9" i="7" s="1"/>
  <c r="D9" i="7"/>
  <c r="C9" i="7"/>
  <c r="E8" i="7"/>
  <c r="F8" i="7" s="1"/>
  <c r="D8" i="7"/>
  <c r="C8" i="7"/>
  <c r="T7" i="13"/>
  <c r="S7" i="13"/>
  <c r="K7" i="13"/>
  <c r="G7" i="13"/>
  <c r="E7" i="13"/>
  <c r="D7" i="13" s="1"/>
  <c r="C7" i="13"/>
  <c r="U6" i="13"/>
  <c r="O6" i="13"/>
  <c r="W6" i="13" s="1"/>
  <c r="M6" i="13"/>
  <c r="I6" i="13"/>
  <c r="Q6" i="13" s="1"/>
  <c r="P6" i="13" s="1"/>
  <c r="X6" i="13" s="1"/>
  <c r="U5" i="13"/>
  <c r="O5" i="13"/>
  <c r="W5" i="13" s="1"/>
  <c r="Y5" i="13" s="1"/>
  <c r="M5" i="13"/>
  <c r="I5" i="13"/>
  <c r="Q5" i="13" s="1"/>
  <c r="P5" i="13" s="1"/>
  <c r="X5" i="13" s="1"/>
  <c r="U4" i="13"/>
  <c r="U7" i="13" s="1"/>
  <c r="O4" i="13"/>
  <c r="O7" i="13" s="1"/>
  <c r="M4" i="13"/>
  <c r="M7" i="13" s="1"/>
  <c r="L7" i="13" s="1"/>
  <c r="I4" i="13"/>
  <c r="Q4" i="13" s="1"/>
  <c r="S7" i="12"/>
  <c r="M7" i="12"/>
  <c r="L7" i="12" s="1"/>
  <c r="K7" i="12"/>
  <c r="G7" i="12"/>
  <c r="C7" i="12"/>
  <c r="O6" i="12"/>
  <c r="W6" i="12" s="1"/>
  <c r="M6" i="12"/>
  <c r="I6" i="12"/>
  <c r="Q6" i="12" s="1"/>
  <c r="P6" i="12" s="1"/>
  <c r="E6" i="12"/>
  <c r="W5" i="12"/>
  <c r="O5" i="12"/>
  <c r="M5" i="12"/>
  <c r="I5" i="12"/>
  <c r="E5" i="12"/>
  <c r="Q5" i="12" s="1"/>
  <c r="P5" i="12" s="1"/>
  <c r="O4" i="12"/>
  <c r="W4" i="12" s="1"/>
  <c r="M4" i="12"/>
  <c r="I4" i="12"/>
  <c r="Q4" i="12" s="1"/>
  <c r="E4" i="12"/>
  <c r="E7" i="12" s="1"/>
  <c r="D7" i="12" s="1"/>
  <c r="S7" i="11"/>
  <c r="M7" i="11"/>
  <c r="L7" i="11" s="1"/>
  <c r="K7" i="11"/>
  <c r="G7" i="11"/>
  <c r="C7" i="11"/>
  <c r="O6" i="11"/>
  <c r="W6" i="11" s="1"/>
  <c r="M6" i="11"/>
  <c r="I6" i="11"/>
  <c r="Q6" i="11" s="1"/>
  <c r="P6" i="11" s="1"/>
  <c r="E6" i="11"/>
  <c r="W5" i="11"/>
  <c r="O5" i="11"/>
  <c r="M5" i="11"/>
  <c r="I5" i="11"/>
  <c r="E5" i="11"/>
  <c r="Q5" i="11" s="1"/>
  <c r="P5" i="11" s="1"/>
  <c r="O4" i="11"/>
  <c r="W4" i="11" s="1"/>
  <c r="M4" i="11"/>
  <c r="I4" i="11"/>
  <c r="Q4" i="11" s="1"/>
  <c r="E4" i="11"/>
  <c r="E7" i="11" s="1"/>
  <c r="D7" i="11" s="1"/>
  <c r="B23" i="10"/>
  <c r="B20" i="10"/>
  <c r="B19" i="10"/>
  <c r="B22" i="10" s="1"/>
  <c r="C15" i="10"/>
  <c r="C21" i="10" s="1"/>
  <c r="C22" i="10" s="1"/>
  <c r="B15" i="10"/>
  <c r="C13" i="10"/>
  <c r="B13" i="10"/>
  <c r="B11" i="10"/>
  <c r="B24" i="10" s="1"/>
  <c r="B26" i="10" s="1"/>
  <c r="C10" i="10"/>
  <c r="C11" i="10" s="1"/>
  <c r="C4" i="10"/>
  <c r="C23" i="10" s="1"/>
  <c r="B4" i="10"/>
  <c r="B19" i="9"/>
  <c r="B17" i="9"/>
  <c r="B20" i="9" s="1"/>
  <c r="B22" i="9" s="1"/>
  <c r="B24" i="9" s="1"/>
  <c r="B26" i="9" s="1"/>
  <c r="C15" i="9"/>
  <c r="C21" i="9" s="1"/>
  <c r="C22" i="9" s="1"/>
  <c r="F13" i="9"/>
  <c r="C13" i="9"/>
  <c r="G13" i="9" s="1"/>
  <c r="B13" i="9"/>
  <c r="B11" i="9"/>
  <c r="F8" i="9"/>
  <c r="L6" i="9"/>
  <c r="K7" i="9" s="1"/>
  <c r="K8" i="9" s="1"/>
  <c r="B6" i="9"/>
  <c r="B4" i="9" s="1"/>
  <c r="C4" i="9"/>
  <c r="C23" i="9" s="1"/>
  <c r="C26" i="18" l="1"/>
  <c r="C27" i="18" s="1"/>
  <c r="C30" i="18"/>
  <c r="B22" i="16"/>
  <c r="B24" i="16" s="1"/>
  <c r="B26" i="16" s="1"/>
  <c r="C24" i="16"/>
  <c r="C23" i="16"/>
  <c r="C24" i="15"/>
  <c r="C23" i="15"/>
  <c r="F10" i="7"/>
  <c r="T6" i="11"/>
  <c r="U6" i="11" s="1"/>
  <c r="X6" i="11"/>
  <c r="Y6" i="13"/>
  <c r="Z6" i="13" s="1"/>
  <c r="AA6" i="13" s="1"/>
  <c r="W12" i="13"/>
  <c r="Y12" i="13" s="1"/>
  <c r="C24" i="10"/>
  <c r="C26" i="10" s="1"/>
  <c r="C27" i="10" s="1"/>
  <c r="W7" i="11"/>
  <c r="Q7" i="12"/>
  <c r="P4" i="12"/>
  <c r="T5" i="12"/>
  <c r="U5" i="12" s="1"/>
  <c r="X5" i="12"/>
  <c r="Y5" i="12" s="1"/>
  <c r="W12" i="12"/>
  <c r="Y12" i="12" s="1"/>
  <c r="Y6" i="11"/>
  <c r="Z6" i="11" s="1"/>
  <c r="AA6" i="11" s="1"/>
  <c r="X6" i="12"/>
  <c r="Y6" i="12" s="1"/>
  <c r="Z6" i="12" s="1"/>
  <c r="AA6" i="12" s="1"/>
  <c r="T6" i="12"/>
  <c r="U6" i="12" s="1"/>
  <c r="Q7" i="13"/>
  <c r="P4" i="13"/>
  <c r="T5" i="11"/>
  <c r="U5" i="11" s="1"/>
  <c r="X5" i="11"/>
  <c r="Y5" i="11" s="1"/>
  <c r="Q7" i="11"/>
  <c r="P4" i="11"/>
  <c r="W11" i="12"/>
  <c r="Y11" i="12" s="1"/>
  <c r="W7" i="12"/>
  <c r="F9" i="9"/>
  <c r="I7" i="11"/>
  <c r="H7" i="11" s="1"/>
  <c r="O7" i="11"/>
  <c r="I7" i="12"/>
  <c r="H7" i="12" s="1"/>
  <c r="O7" i="12"/>
  <c r="W4" i="13"/>
  <c r="C10" i="9"/>
  <c r="B15" i="9"/>
  <c r="B23" i="9" s="1"/>
  <c r="I7" i="13"/>
  <c r="C30" i="16" l="1"/>
  <c r="C26" i="16"/>
  <c r="C27" i="16" s="1"/>
  <c r="C30" i="15"/>
  <c r="C26" i="15"/>
  <c r="C27" i="15" s="1"/>
  <c r="C11" i="9"/>
  <c r="C24" i="9" s="1"/>
  <c r="F11" i="9"/>
  <c r="P7" i="13"/>
  <c r="X4" i="13"/>
  <c r="P7" i="12"/>
  <c r="X4" i="12"/>
  <c r="Y4" i="12" s="1"/>
  <c r="T4" i="12"/>
  <c r="Y4" i="13"/>
  <c r="W7" i="13"/>
  <c r="W11" i="13"/>
  <c r="Y11" i="13" s="1"/>
  <c r="P7" i="11"/>
  <c r="T4" i="11"/>
  <c r="X4" i="11"/>
  <c r="Y4" i="11" s="1"/>
  <c r="U4" i="11" l="1"/>
  <c r="U7" i="11" s="1"/>
  <c r="T7" i="11"/>
  <c r="Y7" i="13"/>
  <c r="X7" i="13" s="1"/>
  <c r="Z4" i="13"/>
  <c r="AA4" i="13" s="1"/>
  <c r="AA7" i="13" s="1"/>
  <c r="U4" i="12"/>
  <c r="U7" i="12" s="1"/>
  <c r="T7" i="12"/>
  <c r="Z4" i="12"/>
  <c r="AA4" i="12" s="1"/>
  <c r="AA7" i="12" s="1"/>
  <c r="Y7" i="12"/>
  <c r="X7" i="12" s="1"/>
  <c r="Z4" i="11"/>
  <c r="AA4" i="11" s="1"/>
  <c r="AA7" i="11" s="1"/>
  <c r="Y7" i="11"/>
  <c r="X7" i="11" s="1"/>
  <c r="C26" i="9"/>
  <c r="C27" i="9" s="1"/>
  <c r="C30" i="9"/>
  <c r="C12" i="1" l="1"/>
  <c r="B22" i="3" l="1"/>
  <c r="C13" i="3"/>
  <c r="B13" i="3"/>
  <c r="C7" i="7" l="1"/>
  <c r="C6" i="7"/>
  <c r="C5" i="7"/>
  <c r="C4" i="7"/>
  <c r="C3" i="7"/>
  <c r="C2" i="7"/>
  <c r="C12" i="2" l="1"/>
  <c r="C12" i="5"/>
  <c r="B20" i="6" l="1"/>
  <c r="B19" i="6"/>
  <c r="C15" i="6"/>
  <c r="C21" i="6" s="1"/>
  <c r="C22" i="6" s="1"/>
  <c r="B15" i="6"/>
  <c r="B13" i="6"/>
  <c r="C13" i="6"/>
  <c r="B9" i="6"/>
  <c r="B8" i="6"/>
  <c r="B11" i="6" s="1"/>
  <c r="C4" i="6"/>
  <c r="C10" i="6" s="1"/>
  <c r="C11" i="6" s="1"/>
  <c r="B4" i="6"/>
  <c r="B20" i="5"/>
  <c r="C13" i="5"/>
  <c r="B13" i="5"/>
  <c r="B19" i="5"/>
  <c r="C15" i="5"/>
  <c r="B9" i="5"/>
  <c r="B8" i="5"/>
  <c r="C4" i="5"/>
  <c r="C10" i="5" s="1"/>
  <c r="C11" i="5" s="1"/>
  <c r="B4" i="5"/>
  <c r="B13" i="4"/>
  <c r="B19" i="4"/>
  <c r="B20" i="4"/>
  <c r="C15" i="4"/>
  <c r="C23" i="4" s="1"/>
  <c r="C13" i="4"/>
  <c r="B8" i="4"/>
  <c r="B9" i="4"/>
  <c r="B11" i="4" s="1"/>
  <c r="C4" i="4"/>
  <c r="C10" i="4" s="1"/>
  <c r="C11" i="4" s="1"/>
  <c r="B17" i="3"/>
  <c r="C4" i="3"/>
  <c r="B22" i="6" l="1"/>
  <c r="B24" i="6" s="1"/>
  <c r="B26" i="6" s="1"/>
  <c r="D5" i="7" s="1"/>
  <c r="B23" i="6"/>
  <c r="C24" i="6"/>
  <c r="C23" i="6"/>
  <c r="B11" i="5"/>
  <c r="B22" i="5"/>
  <c r="B15" i="5"/>
  <c r="B23" i="5" s="1"/>
  <c r="C23" i="5"/>
  <c r="C21" i="5"/>
  <c r="C22" i="5" s="1"/>
  <c r="C24" i="5" s="1"/>
  <c r="B22" i="4"/>
  <c r="B24" i="4" s="1"/>
  <c r="B26" i="4" s="1"/>
  <c r="D3" i="7" s="1"/>
  <c r="B15" i="4"/>
  <c r="C21" i="4"/>
  <c r="C22" i="4" s="1"/>
  <c r="C24" i="4" s="1"/>
  <c r="B4" i="4"/>
  <c r="B23" i="4" l="1"/>
  <c r="B24" i="5"/>
  <c r="B26" i="5" s="1"/>
  <c r="D4" i="7" s="1"/>
  <c r="C30" i="6"/>
  <c r="C26" i="6"/>
  <c r="C26" i="5"/>
  <c r="E4" i="7" s="1"/>
  <c r="C30" i="4"/>
  <c r="C26" i="4"/>
  <c r="C27" i="6" l="1"/>
  <c r="E5" i="7"/>
  <c r="F5" i="7" s="1"/>
  <c r="F4" i="7"/>
  <c r="C27" i="4"/>
  <c r="E3" i="7"/>
  <c r="F3" i="7" s="1"/>
  <c r="C27" i="5"/>
  <c r="C30" i="5"/>
  <c r="B20" i="3" l="1"/>
  <c r="B19" i="3"/>
  <c r="C15" i="3"/>
  <c r="C23" i="3" s="1"/>
  <c r="B15" i="3"/>
  <c r="B8" i="3"/>
  <c r="B9" i="3"/>
  <c r="C10" i="3"/>
  <c r="C11" i="3" s="1"/>
  <c r="B19" i="1"/>
  <c r="B15" i="2"/>
  <c r="B4" i="2"/>
  <c r="B9" i="2"/>
  <c r="B9" i="1"/>
  <c r="C4" i="2"/>
  <c r="C15" i="2"/>
  <c r="B11" i="3" l="1"/>
  <c r="C21" i="3"/>
  <c r="C22" i="3" s="1"/>
  <c r="C24" i="3" s="1"/>
  <c r="B4" i="3"/>
  <c r="B23" i="3" s="1"/>
  <c r="B8" i="2"/>
  <c r="B11" i="2" s="1"/>
  <c r="B23" i="2"/>
  <c r="B20" i="2"/>
  <c r="B19" i="2"/>
  <c r="C21" i="2"/>
  <c r="C22" i="2" s="1"/>
  <c r="C13" i="2"/>
  <c r="B13" i="2"/>
  <c r="C23" i="2"/>
  <c r="C15" i="1"/>
  <c r="B15" i="1"/>
  <c r="C4" i="1"/>
  <c r="C10" i="1" s="1"/>
  <c r="C11" i="1" s="1"/>
  <c r="B4" i="1"/>
  <c r="C21" i="1"/>
  <c r="C22" i="1" s="1"/>
  <c r="B20" i="1"/>
  <c r="C13" i="1"/>
  <c r="B13" i="1"/>
  <c r="B8" i="1"/>
  <c r="B24" i="3" l="1"/>
  <c r="B23" i="1"/>
  <c r="C26" i="3"/>
  <c r="B22" i="2"/>
  <c r="B24" i="2" s="1"/>
  <c r="C10" i="2"/>
  <c r="C11" i="2" s="1"/>
  <c r="C24" i="2" s="1"/>
  <c r="C26" i="2" s="1"/>
  <c r="E7" i="7" s="1"/>
  <c r="C24" i="1"/>
  <c r="C26" i="1" s="1"/>
  <c r="E6" i="7" s="1"/>
  <c r="B22" i="1"/>
  <c r="B11" i="1"/>
  <c r="B26" i="3" l="1"/>
  <c r="D2" i="7" s="1"/>
  <c r="B24" i="1"/>
  <c r="B26" i="1" s="1"/>
  <c r="D6" i="7" s="1"/>
  <c r="F6" i="7" s="1"/>
  <c r="C30" i="3"/>
  <c r="E2" i="7"/>
  <c r="B26" i="2"/>
  <c r="D7" i="7" s="1"/>
  <c r="F7" i="7" s="1"/>
  <c r="C30" i="2"/>
  <c r="C23" i="1"/>
  <c r="C27" i="2" l="1"/>
  <c r="F2" i="7"/>
  <c r="C27" i="3"/>
  <c r="C27" i="1"/>
</calcChain>
</file>

<file path=xl/sharedStrings.xml><?xml version="1.0" encoding="utf-8"?>
<sst xmlns="http://schemas.openxmlformats.org/spreadsheetml/2006/main" count="417" uniqueCount="48">
  <si>
    <t>Ink</t>
  </si>
  <si>
    <t>Chemical</t>
  </si>
  <si>
    <t>Main Store Received</t>
  </si>
  <si>
    <t>Return</t>
  </si>
  <si>
    <t>Consumed</t>
  </si>
  <si>
    <t>Ink Rate Avg</t>
  </si>
  <si>
    <t>Production</t>
  </si>
  <si>
    <t>Total Cost /KG</t>
  </si>
  <si>
    <t>Cost /KG</t>
  </si>
  <si>
    <t>Fresh</t>
  </si>
  <si>
    <t>Used</t>
  </si>
  <si>
    <t>Used Amount</t>
  </si>
  <si>
    <t>Fresh Amount</t>
  </si>
  <si>
    <t>Chemical Amount</t>
  </si>
  <si>
    <t>Received Amount</t>
  </si>
  <si>
    <t>Opening Amount</t>
  </si>
  <si>
    <t>Total Opening</t>
  </si>
  <si>
    <t>Consumed Amount</t>
  </si>
  <si>
    <t>Particulars</t>
  </si>
  <si>
    <t>Total Closing</t>
  </si>
  <si>
    <t>Closing Amount</t>
  </si>
  <si>
    <t>Total</t>
  </si>
  <si>
    <t>Chemcial cost</t>
  </si>
  <si>
    <t>Ink cost</t>
  </si>
  <si>
    <t>January</t>
  </si>
  <si>
    <t>February</t>
  </si>
  <si>
    <t>March</t>
  </si>
  <si>
    <t>April</t>
  </si>
  <si>
    <t>May</t>
  </si>
  <si>
    <t>June</t>
  </si>
  <si>
    <t>Month</t>
  </si>
  <si>
    <t>July</t>
  </si>
  <si>
    <t>August</t>
  </si>
  <si>
    <t>September</t>
  </si>
  <si>
    <t>October</t>
  </si>
  <si>
    <t>Main store Rm-PP</t>
  </si>
  <si>
    <t xml:space="preserve">Opening </t>
  </si>
  <si>
    <t>Purchase</t>
  </si>
  <si>
    <t>Available for use</t>
  </si>
  <si>
    <t xml:space="preserve">Closing Stock </t>
  </si>
  <si>
    <t>Consumption</t>
  </si>
  <si>
    <t>Sr #</t>
  </si>
  <si>
    <t xml:space="preserve">Category </t>
  </si>
  <si>
    <t>Qty</t>
  </si>
  <si>
    <t>Rate</t>
  </si>
  <si>
    <t>Amount</t>
  </si>
  <si>
    <t>Ink -Fresh</t>
  </si>
  <si>
    <t>Ink -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</si>
</sst>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Rs&quot;#,##0.00;[Red]\-&quot;Rs&quot;#,##0.00"/>
    <numFmt numFmtId="165" formatCode="0.00\ &quot;/KG&quot;"/>
    <numFmt numFmtId="166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sz val="18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  <font>
      <b/>
      <sz val="2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b/>
      <sz val="16"/>
      <color rgb="FFFF0000"/>
      <name val="Aptos Display"/>
      <family val="2"/>
      <scheme val="major"/>
    </font>
    <font>
      <sz val="8"/>
      <name val="Aptos Narrow"/>
      <family val="2"/>
      <scheme val="minor"/>
    </font>
    <font>
      <sz val="11"/>
      <color theme="0"/>
      <name val="Times New Roman"/>
      <family val="1"/>
    </font>
    <font>
      <b/>
      <sz val="14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165" fontId="6" fillId="4" borderId="7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165" fontId="8" fillId="0" borderId="15" xfId="0" applyNumberFormat="1" applyFont="1" applyBorder="1" applyAlignment="1">
      <alignment horizontal="center"/>
    </xf>
    <xf numFmtId="165" fontId="8" fillId="0" borderId="9" xfId="0" applyNumberFormat="1" applyFont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43" fontId="2" fillId="0" borderId="6" xfId="1" applyFont="1" applyBorder="1" applyAlignment="1">
      <alignment horizontal="center" vertical="center"/>
    </xf>
    <xf numFmtId="43" fontId="7" fillId="0" borderId="10" xfId="1" applyFont="1" applyBorder="1" applyAlignment="1">
      <alignment horizontal="center"/>
    </xf>
    <xf numFmtId="43" fontId="7" fillId="3" borderId="10" xfId="1" applyFont="1" applyFill="1" applyBorder="1" applyAlignment="1">
      <alignment horizontal="center"/>
    </xf>
    <xf numFmtId="43" fontId="3" fillId="4" borderId="10" xfId="1" applyFont="1" applyFill="1" applyBorder="1" applyAlignment="1">
      <alignment horizontal="center"/>
    </xf>
    <xf numFmtId="43" fontId="8" fillId="0" borderId="10" xfId="1" applyFont="1" applyBorder="1" applyAlignment="1">
      <alignment horizontal="center"/>
    </xf>
    <xf numFmtId="43" fontId="8" fillId="0" borderId="15" xfId="1" applyFont="1" applyBorder="1" applyAlignment="1">
      <alignment horizontal="center"/>
    </xf>
    <xf numFmtId="43" fontId="1" fillId="0" borderId="0" xfId="1" applyFont="1" applyAlignment="1">
      <alignment vertical="center"/>
    </xf>
    <xf numFmtId="43" fontId="1" fillId="0" borderId="0" xfId="1" applyFont="1"/>
    <xf numFmtId="43" fontId="7" fillId="0" borderId="8" xfId="1" applyFont="1" applyBorder="1" applyAlignment="1">
      <alignment horizontal="center"/>
    </xf>
    <xf numFmtId="43" fontId="7" fillId="3" borderId="8" xfId="1" applyFont="1" applyFill="1" applyBorder="1" applyAlignment="1">
      <alignment horizontal="center"/>
    </xf>
    <xf numFmtId="43" fontId="3" fillId="4" borderId="8" xfId="1" applyFont="1" applyFill="1" applyBorder="1" applyAlignment="1">
      <alignment horizontal="center"/>
    </xf>
    <xf numFmtId="43" fontId="8" fillId="0" borderId="8" xfId="1" applyFont="1" applyBorder="1" applyAlignment="1">
      <alignment horizontal="center"/>
    </xf>
    <xf numFmtId="43" fontId="8" fillId="0" borderId="9" xfId="1" applyFont="1" applyBorder="1" applyAlignment="1">
      <alignment horizontal="center"/>
    </xf>
    <xf numFmtId="43" fontId="6" fillId="4" borderId="7" xfId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43" fontId="7" fillId="5" borderId="10" xfId="1" applyFont="1" applyFill="1" applyBorder="1" applyAlignment="1">
      <alignment horizontal="center"/>
    </xf>
    <xf numFmtId="43" fontId="7" fillId="5" borderId="8" xfId="1" applyFont="1" applyFill="1" applyBorder="1" applyAlignment="1">
      <alignment horizontal="center"/>
    </xf>
    <xf numFmtId="0" fontId="10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0" applyNumberFormat="1"/>
    <xf numFmtId="43" fontId="1" fillId="0" borderId="0" xfId="0" applyNumberFormat="1" applyFont="1"/>
    <xf numFmtId="0" fontId="2" fillId="4" borderId="13" xfId="0" applyFont="1" applyFill="1" applyBorder="1" applyAlignment="1">
      <alignment horizontal="center" vertical="center" wrapText="1"/>
    </xf>
    <xf numFmtId="43" fontId="2" fillId="4" borderId="10" xfId="1" applyFont="1" applyFill="1" applyBorder="1" applyAlignment="1">
      <alignment horizontal="center"/>
    </xf>
    <xf numFmtId="43" fontId="2" fillId="4" borderId="8" xfId="1" applyFont="1" applyFill="1" applyBorder="1" applyAlignment="1">
      <alignment horizontal="center"/>
    </xf>
    <xf numFmtId="0" fontId="11" fillId="6" borderId="0" xfId="0" applyFont="1" applyFill="1"/>
    <xf numFmtId="0" fontId="12" fillId="6" borderId="0" xfId="0" applyFont="1" applyFill="1"/>
    <xf numFmtId="166" fontId="12" fillId="6" borderId="0" xfId="1" applyNumberFormat="1" applyFont="1" applyFill="1"/>
    <xf numFmtId="0" fontId="12" fillId="0" borderId="0" xfId="0" applyFont="1"/>
    <xf numFmtId="0" fontId="13" fillId="0" borderId="0" xfId="0" applyFont="1"/>
    <xf numFmtId="166" fontId="13" fillId="0" borderId="16" xfId="1" applyNumberFormat="1" applyFont="1" applyBorder="1"/>
    <xf numFmtId="166" fontId="13" fillId="0" borderId="0" xfId="1" applyNumberFormat="1" applyFont="1"/>
    <xf numFmtId="166" fontId="13" fillId="0" borderId="0" xfId="1" applyNumberFormat="1" applyFont="1" applyBorder="1"/>
    <xf numFmtId="166" fontId="12" fillId="0" borderId="17" xfId="1" applyNumberFormat="1" applyFont="1" applyFill="1" applyBorder="1"/>
    <xf numFmtId="166" fontId="12" fillId="7" borderId="18" xfId="1" applyNumberFormat="1" applyFont="1" applyFill="1" applyBorder="1"/>
    <xf numFmtId="166" fontId="12" fillId="0" borderId="0" xfId="1" applyNumberFormat="1" applyFont="1" applyFill="1" applyBorder="1"/>
    <xf numFmtId="166" fontId="12" fillId="8" borderId="17" xfId="1" applyNumberFormat="1" applyFont="1" applyFill="1" applyBorder="1"/>
    <xf numFmtId="166" fontId="12" fillId="9" borderId="17" xfId="1" applyNumberFormat="1" applyFont="1" applyFill="1" applyBorder="1"/>
    <xf numFmtId="166" fontId="12" fillId="9" borderId="18" xfId="1" applyNumberFormat="1" applyFont="1" applyFill="1" applyBorder="1"/>
    <xf numFmtId="166" fontId="0" fillId="0" borderId="0" xfId="0" applyNumberFormat="1"/>
    <xf numFmtId="166" fontId="12" fillId="0" borderId="18" xfId="1" applyNumberFormat="1" applyFont="1" applyFill="1" applyBorder="1"/>
    <xf numFmtId="166" fontId="12" fillId="8" borderId="18" xfId="1" applyNumberFormat="1" applyFont="1" applyFill="1" applyBorder="1"/>
    <xf numFmtId="166" fontId="13" fillId="0" borderId="19" xfId="1" applyNumberFormat="1" applyFont="1" applyBorder="1"/>
    <xf numFmtId="166" fontId="13" fillId="0" borderId="19" xfId="1" applyNumberFormat="1" applyFont="1" applyBorder="1" applyAlignment="1">
      <alignment horizontal="center"/>
    </xf>
    <xf numFmtId="166" fontId="13" fillId="8" borderId="19" xfId="1" applyNumberFormat="1" applyFont="1" applyFill="1" applyBorder="1"/>
    <xf numFmtId="43" fontId="0" fillId="0" borderId="0" xfId="1" applyFont="1"/>
    <xf numFmtId="0" fontId="14" fillId="0" borderId="0" xfId="0" applyFont="1" applyAlignment="1">
      <alignment vertical="center"/>
    </xf>
    <xf numFmtId="0" fontId="7" fillId="0" borderId="20" xfId="0" applyFont="1" applyBorder="1" applyAlignment="1">
      <alignment horizontal="center" vertical="center" wrapText="1"/>
    </xf>
    <xf numFmtId="43" fontId="7" fillId="0" borderId="17" xfId="1" applyFont="1" applyBorder="1" applyAlignment="1">
      <alignment horizontal="center"/>
    </xf>
    <xf numFmtId="43" fontId="7" fillId="0" borderId="21" xfId="1" applyFont="1" applyBorder="1" applyAlignment="1">
      <alignment horizontal="center"/>
    </xf>
    <xf numFmtId="43" fontId="7" fillId="3" borderId="22" xfId="1" applyFont="1" applyFill="1" applyBorder="1" applyAlignment="1">
      <alignment horizontal="center"/>
    </xf>
    <xf numFmtId="43" fontId="7" fillId="0" borderId="23" xfId="1" applyFont="1" applyBorder="1" applyAlignment="1">
      <alignment horizontal="center"/>
    </xf>
    <xf numFmtId="43" fontId="7" fillId="5" borderId="11" xfId="1" applyFont="1" applyFill="1" applyBorder="1" applyAlignment="1">
      <alignment horizontal="center"/>
    </xf>
    <xf numFmtId="43" fontId="7" fillId="5" borderId="3" xfId="1" applyFont="1" applyFill="1" applyBorder="1" applyAlignment="1">
      <alignment horizontal="center"/>
    </xf>
    <xf numFmtId="43" fontId="7" fillId="5" borderId="13" xfId="1" applyFont="1" applyFill="1" applyBorder="1" applyAlignment="1">
      <alignment horizontal="center"/>
    </xf>
    <xf numFmtId="43" fontId="7" fillId="5" borderId="14" xfId="1" applyFont="1" applyFill="1" applyBorder="1" applyAlignment="1">
      <alignment horizontal="center"/>
    </xf>
    <xf numFmtId="43" fontId="7" fillId="5" borderId="9" xfId="1" applyFont="1" applyFill="1" applyBorder="1" applyAlignment="1">
      <alignment horizontal="center"/>
    </xf>
    <xf numFmtId="43" fontId="2" fillId="4" borderId="17" xfId="1" applyFont="1" applyFill="1" applyBorder="1" applyAlignment="1">
      <alignment horizontal="center"/>
    </xf>
    <xf numFmtId="43" fontId="2" fillId="4" borderId="21" xfId="1" applyFont="1" applyFill="1" applyBorder="1" applyAlignment="1">
      <alignment horizontal="center"/>
    </xf>
    <xf numFmtId="43" fontId="2" fillId="4" borderId="22" xfId="1" applyFont="1" applyFill="1" applyBorder="1" applyAlignment="1">
      <alignment horizontal="center"/>
    </xf>
    <xf numFmtId="43" fontId="2" fillId="4" borderId="23" xfId="1" applyFont="1" applyFill="1" applyBorder="1" applyAlignment="1">
      <alignment horizontal="center"/>
    </xf>
    <xf numFmtId="43" fontId="7" fillId="5" borderId="24" xfId="1" applyFont="1" applyFill="1" applyBorder="1" applyAlignment="1">
      <alignment horizontal="center"/>
    </xf>
    <xf numFmtId="43" fontId="7" fillId="5" borderId="25" xfId="1" applyFont="1" applyFill="1" applyBorder="1" applyAlignment="1">
      <alignment horizontal="center"/>
    </xf>
    <xf numFmtId="43" fontId="7" fillId="3" borderId="23" xfId="1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43" fontId="8" fillId="0" borderId="26" xfId="1" applyFont="1" applyBorder="1" applyAlignment="1">
      <alignment horizontal="center"/>
    </xf>
    <xf numFmtId="43" fontId="8" fillId="0" borderId="27" xfId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166" fontId="4" fillId="2" borderId="6" xfId="1" applyNumberFormat="1" applyFont="1" applyFill="1" applyBorder="1" applyAlignment="1">
      <alignment horizontal="center" vertical="center"/>
    </xf>
    <xf numFmtId="166" fontId="4" fillId="2" borderId="7" xfId="1" applyNumberFormat="1" applyFont="1" applyFill="1" applyBorder="1" applyAlignment="1">
      <alignment horizontal="center" vertical="center"/>
    </xf>
    <xf numFmtId="166" fontId="13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A9CB-C696-4A5A-B9DF-A8DA7BE5549B}">
  <sheetPr codeName="Sheet1">
    <pageSetUpPr fitToPage="1"/>
  </sheetPr>
  <dimension ref="A1:E30"/>
  <sheetViews>
    <sheetView zoomScale="70" zoomScaleNormal="70" workbookViewId="0">
      <selection activeCell="E27" sqref="E27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9.85546875" style="1" customWidth="1"/>
    <col min="5" max="5" width="10" style="1" customWidth="1"/>
    <col min="6" max="16384" width="9.140625" style="1"/>
  </cols>
  <sheetData>
    <row r="1" spans="1:3" ht="23.25" customHeight="1" x14ac:dyDescent="0.4">
      <c r="A1" s="96" t="s">
        <v>6</v>
      </c>
      <c r="B1" s="97"/>
      <c r="C1" s="100">
        <v>133131.82999999999</v>
      </c>
    </row>
    <row r="2" spans="1:3" ht="23.25" customHeight="1" thickBot="1" x14ac:dyDescent="0.45">
      <c r="A2" s="98"/>
      <c r="B2" s="99"/>
      <c r="C2" s="101"/>
    </row>
    <row r="3" spans="1:3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3" ht="30.75" customHeight="1" x14ac:dyDescent="0.4">
      <c r="A4" s="6" t="s">
        <v>16</v>
      </c>
      <c r="B4" s="29">
        <f>SUM(B5:B7)</f>
        <v>5920</v>
      </c>
      <c r="C4" s="36">
        <f>SUM(C5:C7)</f>
        <v>174</v>
      </c>
    </row>
    <row r="5" spans="1:3" ht="30.75" customHeight="1" x14ac:dyDescent="0.4">
      <c r="A5" s="10" t="s">
        <v>9</v>
      </c>
      <c r="B5" s="44">
        <v>1120</v>
      </c>
      <c r="C5" s="45"/>
    </row>
    <row r="6" spans="1:3" ht="30.75" customHeight="1" x14ac:dyDescent="0.4">
      <c r="A6" s="10" t="s">
        <v>10</v>
      </c>
      <c r="B6" s="44">
        <v>4800</v>
      </c>
      <c r="C6" s="45"/>
    </row>
    <row r="7" spans="1:3" ht="30.75" customHeight="1" x14ac:dyDescent="0.4">
      <c r="A7" s="10" t="s">
        <v>1</v>
      </c>
      <c r="B7" s="44"/>
      <c r="C7" s="45">
        <v>174</v>
      </c>
    </row>
    <row r="8" spans="1:3" ht="30.75" customHeight="1" x14ac:dyDescent="0.4">
      <c r="A8" s="13" t="s">
        <v>12</v>
      </c>
      <c r="B8" s="30">
        <f>+B5*B25</f>
        <v>1294216</v>
      </c>
      <c r="C8" s="36"/>
    </row>
    <row r="9" spans="1:3" ht="30.75" customHeight="1" x14ac:dyDescent="0.4">
      <c r="A9" s="13" t="s">
        <v>11</v>
      </c>
      <c r="B9" s="30">
        <f>+B6*(B25/100*75)</f>
        <v>4159980</v>
      </c>
      <c r="C9" s="37"/>
    </row>
    <row r="10" spans="1:3" ht="30.75" customHeight="1" x14ac:dyDescent="0.4">
      <c r="A10" s="13" t="s">
        <v>13</v>
      </c>
      <c r="B10" s="30"/>
      <c r="C10" s="37">
        <f>+C4*C25</f>
        <v>95700</v>
      </c>
    </row>
    <row r="11" spans="1:3" ht="30.75" customHeight="1" x14ac:dyDescent="0.4">
      <c r="A11" s="25" t="s">
        <v>15</v>
      </c>
      <c r="B11" s="31">
        <f>SUM(B8:B10)</f>
        <v>5454196</v>
      </c>
      <c r="C11" s="38">
        <f>SUM(C8:C10)</f>
        <v>95700</v>
      </c>
    </row>
    <row r="12" spans="1:3" ht="30.75" customHeight="1" x14ac:dyDescent="0.4">
      <c r="A12" s="10" t="s">
        <v>2</v>
      </c>
      <c r="B12" s="44">
        <v>1878</v>
      </c>
      <c r="C12" s="45">
        <v>3135</v>
      </c>
    </row>
    <row r="13" spans="1:3" ht="30.75" customHeight="1" x14ac:dyDescent="0.4">
      <c r="A13" s="25" t="s">
        <v>14</v>
      </c>
      <c r="B13" s="31">
        <f>+B12*B25</f>
        <v>2170122.9</v>
      </c>
      <c r="C13" s="38">
        <f>+C12*C25</f>
        <v>1724250</v>
      </c>
    </row>
    <row r="14" spans="1:3" ht="30.75" customHeight="1" x14ac:dyDescent="0.4">
      <c r="A14" s="16" t="s">
        <v>3</v>
      </c>
      <c r="B14" s="29"/>
      <c r="C14" s="36"/>
    </row>
    <row r="15" spans="1:3" ht="30.75" customHeight="1" x14ac:dyDescent="0.4">
      <c r="A15" s="10" t="s">
        <v>19</v>
      </c>
      <c r="B15" s="29">
        <f>SUM(B16:B18)</f>
        <v>5861.01</v>
      </c>
      <c r="C15" s="36">
        <f>SUM(C16:C18)</f>
        <v>312</v>
      </c>
    </row>
    <row r="16" spans="1:3" ht="30.75" customHeight="1" x14ac:dyDescent="0.4">
      <c r="A16" s="10" t="s">
        <v>9</v>
      </c>
      <c r="B16" s="44">
        <v>1297.48</v>
      </c>
      <c r="C16" s="45"/>
    </row>
    <row r="17" spans="1:5" ht="30.75" customHeight="1" x14ac:dyDescent="0.4">
      <c r="A17" s="10" t="s">
        <v>10</v>
      </c>
      <c r="B17" s="44">
        <f>5861.01-B16</f>
        <v>4563.5300000000007</v>
      </c>
      <c r="C17" s="45"/>
    </row>
    <row r="18" spans="1:5" ht="30.75" customHeight="1" x14ac:dyDescent="0.4">
      <c r="A18" s="10" t="s">
        <v>1</v>
      </c>
      <c r="B18" s="44"/>
      <c r="C18" s="45">
        <v>312</v>
      </c>
    </row>
    <row r="19" spans="1:5" ht="30.75" customHeight="1" x14ac:dyDescent="0.4">
      <c r="A19" s="13" t="s">
        <v>12</v>
      </c>
      <c r="B19" s="30">
        <f>+B16*B25</f>
        <v>1499303.014</v>
      </c>
      <c r="C19" s="37"/>
    </row>
    <row r="20" spans="1:5" ht="30.75" customHeight="1" x14ac:dyDescent="0.4">
      <c r="A20" s="13" t="s">
        <v>11</v>
      </c>
      <c r="B20" s="30">
        <f>+B17*(B25/100*75)</f>
        <v>3955040.3186250008</v>
      </c>
      <c r="C20" s="37"/>
    </row>
    <row r="21" spans="1:5" ht="30.75" customHeight="1" x14ac:dyDescent="0.4">
      <c r="A21" s="13" t="s">
        <v>13</v>
      </c>
      <c r="B21" s="30"/>
      <c r="C21" s="37">
        <f>+C15*C25</f>
        <v>171600</v>
      </c>
    </row>
    <row r="22" spans="1:5" ht="30.75" customHeight="1" x14ac:dyDescent="0.4">
      <c r="A22" s="25" t="s">
        <v>20</v>
      </c>
      <c r="B22" s="31">
        <f>SUM(B19:B21)</f>
        <v>5454343.3326250007</v>
      </c>
      <c r="C22" s="38">
        <f>SUM(C19:C21)</f>
        <v>171600</v>
      </c>
    </row>
    <row r="23" spans="1:5" ht="30.75" customHeight="1" x14ac:dyDescent="0.4">
      <c r="A23" s="16" t="s">
        <v>4</v>
      </c>
      <c r="B23" s="32">
        <f>+(B4+B12)-(B14+B15)</f>
        <v>1936.9899999999998</v>
      </c>
      <c r="C23" s="39">
        <f>+(C4+C12)-(C14+C15)</f>
        <v>2997</v>
      </c>
    </row>
    <row r="24" spans="1:5" ht="30.75" customHeight="1" x14ac:dyDescent="0.4">
      <c r="A24" s="25" t="s">
        <v>17</v>
      </c>
      <c r="B24" s="31">
        <f>+(B11+B13-B22)</f>
        <v>2169975.5673749996</v>
      </c>
      <c r="C24" s="38">
        <f>+(C11+C13-C22)</f>
        <v>1648350</v>
      </c>
    </row>
    <row r="25" spans="1:5" ht="30.75" customHeight="1" x14ac:dyDescent="0.4">
      <c r="A25" s="19" t="s">
        <v>5</v>
      </c>
      <c r="B25" s="44">
        <v>1155.55</v>
      </c>
      <c r="C25" s="45">
        <v>550</v>
      </c>
    </row>
    <row r="26" spans="1:5" ht="30.75" customHeight="1" thickBot="1" x14ac:dyDescent="0.45">
      <c r="A26" s="22" t="s">
        <v>8</v>
      </c>
      <c r="B26" s="33">
        <f>B24/$C$1</f>
        <v>16.299449706167188</v>
      </c>
      <c r="C26" s="40">
        <f>C24/$C$1</f>
        <v>12.381336604476932</v>
      </c>
    </row>
    <row r="27" spans="1:5" s="3" customFormat="1" ht="39.75" customHeight="1" thickBot="1" x14ac:dyDescent="0.3">
      <c r="A27" s="4" t="s">
        <v>7</v>
      </c>
      <c r="B27" s="34"/>
      <c r="C27" s="41">
        <f>+C26+B26</f>
        <v>28.68078631064412</v>
      </c>
      <c r="E27" s="75"/>
    </row>
    <row r="30" spans="1:5" x14ac:dyDescent="0.4">
      <c r="C30" s="35">
        <f>C24+B24</f>
        <v>3818325.5673749996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DE99-08FC-4816-BCED-27ABF3E12A35}">
  <sheetPr codeName="Sheet2">
    <pageSetUpPr fitToPage="1"/>
  </sheetPr>
  <dimension ref="A1:C30"/>
  <sheetViews>
    <sheetView zoomScale="70" zoomScaleNormal="70" workbookViewId="0">
      <selection activeCell="B16" sqref="B16:C18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9.85546875" style="1" customWidth="1"/>
    <col min="5" max="5" width="10" style="1" customWidth="1"/>
    <col min="6" max="16384" width="9.140625" style="1"/>
  </cols>
  <sheetData>
    <row r="1" spans="1:3" ht="23.25" customHeight="1" x14ac:dyDescent="0.4">
      <c r="A1" s="96" t="s">
        <v>6</v>
      </c>
      <c r="B1" s="97"/>
      <c r="C1" s="100">
        <v>123190.06</v>
      </c>
    </row>
    <row r="2" spans="1:3" ht="23.25" customHeight="1" thickBot="1" x14ac:dyDescent="0.45">
      <c r="A2" s="98"/>
      <c r="B2" s="99"/>
      <c r="C2" s="101"/>
    </row>
    <row r="3" spans="1:3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3" ht="30.75" customHeight="1" x14ac:dyDescent="0.4">
      <c r="A4" s="6" t="s">
        <v>16</v>
      </c>
      <c r="B4" s="29">
        <f>SUM(B5:B7)</f>
        <v>5861.01</v>
      </c>
      <c r="C4" s="36">
        <f>SUM(C5:C7)</f>
        <v>312</v>
      </c>
    </row>
    <row r="5" spans="1:3" ht="30.75" customHeight="1" x14ac:dyDescent="0.4">
      <c r="A5" s="10" t="s">
        <v>9</v>
      </c>
      <c r="B5" s="44">
        <v>1297.48</v>
      </c>
      <c r="C5" s="45"/>
    </row>
    <row r="6" spans="1:3" ht="30.75" customHeight="1" x14ac:dyDescent="0.4">
      <c r="A6" s="10" t="s">
        <v>10</v>
      </c>
      <c r="B6" s="44">
        <v>4563.5300000000007</v>
      </c>
      <c r="C6" s="45"/>
    </row>
    <row r="7" spans="1:3" ht="30.75" customHeight="1" x14ac:dyDescent="0.4">
      <c r="A7" s="10" t="s">
        <v>1</v>
      </c>
      <c r="B7" s="44"/>
      <c r="C7" s="45">
        <v>312</v>
      </c>
    </row>
    <row r="8" spans="1:3" ht="30.75" customHeight="1" x14ac:dyDescent="0.4">
      <c r="A8" s="13" t="s">
        <v>12</v>
      </c>
      <c r="B8" s="30">
        <f>+B5*B25</f>
        <v>1480424.68</v>
      </c>
      <c r="C8" s="36"/>
    </row>
    <row r="9" spans="1:3" ht="30.75" customHeight="1" x14ac:dyDescent="0.4">
      <c r="A9" s="13" t="s">
        <v>11</v>
      </c>
      <c r="B9" s="30">
        <f>+B6*(B25/100*75)</f>
        <v>3905240.7975000003</v>
      </c>
      <c r="C9" s="37"/>
    </row>
    <row r="10" spans="1:3" ht="30.75" customHeight="1" x14ac:dyDescent="0.4">
      <c r="A10" s="13" t="s">
        <v>13</v>
      </c>
      <c r="B10" s="30"/>
      <c r="C10" s="37">
        <f>+C4*C25</f>
        <v>166046.40000000002</v>
      </c>
    </row>
    <row r="11" spans="1:3" ht="30.75" customHeight="1" x14ac:dyDescent="0.4">
      <c r="A11" s="25" t="s">
        <v>15</v>
      </c>
      <c r="B11" s="31">
        <f>SUM(B8:B10)</f>
        <v>5385665.4775</v>
      </c>
      <c r="C11" s="38">
        <f>SUM(C8:C10)</f>
        <v>166046.40000000002</v>
      </c>
    </row>
    <row r="12" spans="1:3" ht="30.75" customHeight="1" x14ac:dyDescent="0.4">
      <c r="A12" s="10" t="s">
        <v>2</v>
      </c>
      <c r="B12" s="44">
        <v>1298</v>
      </c>
      <c r="C12" s="45">
        <v>2970</v>
      </c>
    </row>
    <row r="13" spans="1:3" ht="30.75" customHeight="1" x14ac:dyDescent="0.4">
      <c r="A13" s="25" t="s">
        <v>14</v>
      </c>
      <c r="B13" s="31">
        <f>+B12*B25</f>
        <v>1481018</v>
      </c>
      <c r="C13" s="38">
        <f>+C12*C25</f>
        <v>1580634.0000000002</v>
      </c>
    </row>
    <row r="14" spans="1:3" ht="30.75" customHeight="1" x14ac:dyDescent="0.4">
      <c r="A14" s="16" t="s">
        <v>3</v>
      </c>
      <c r="B14" s="29"/>
      <c r="C14" s="36"/>
    </row>
    <row r="15" spans="1:3" ht="30.75" customHeight="1" x14ac:dyDescent="0.4">
      <c r="A15" s="10" t="s">
        <v>19</v>
      </c>
      <c r="B15" s="29">
        <f>SUM(B16:B18)</f>
        <v>5316</v>
      </c>
      <c r="C15" s="36">
        <f>SUM(C16:C18)</f>
        <v>764</v>
      </c>
    </row>
    <row r="16" spans="1:3" ht="30.75" customHeight="1" x14ac:dyDescent="0.4">
      <c r="A16" s="10" t="s">
        <v>9</v>
      </c>
      <c r="B16" s="44">
        <v>901</v>
      </c>
      <c r="C16" s="45"/>
    </row>
    <row r="17" spans="1:3" ht="30.75" customHeight="1" x14ac:dyDescent="0.4">
      <c r="A17" s="10" t="s">
        <v>10</v>
      </c>
      <c r="B17" s="44">
        <v>4415</v>
      </c>
      <c r="C17" s="45"/>
    </row>
    <row r="18" spans="1:3" ht="30.75" customHeight="1" x14ac:dyDescent="0.4">
      <c r="A18" s="10" t="s">
        <v>1</v>
      </c>
      <c r="B18" s="44"/>
      <c r="C18" s="45">
        <v>764</v>
      </c>
    </row>
    <row r="19" spans="1:3" ht="30.75" customHeight="1" x14ac:dyDescent="0.4">
      <c r="A19" s="13" t="s">
        <v>12</v>
      </c>
      <c r="B19" s="30">
        <f>+B16*B25</f>
        <v>1028041</v>
      </c>
      <c r="C19" s="37"/>
    </row>
    <row r="20" spans="1:3" ht="30.75" customHeight="1" x14ac:dyDescent="0.4">
      <c r="A20" s="13" t="s">
        <v>11</v>
      </c>
      <c r="B20" s="30">
        <f>+B17*(B25/100*75)</f>
        <v>3778136.25</v>
      </c>
      <c r="C20" s="37"/>
    </row>
    <row r="21" spans="1:3" ht="30.75" customHeight="1" x14ac:dyDescent="0.4">
      <c r="A21" s="13" t="s">
        <v>13</v>
      </c>
      <c r="B21" s="30"/>
      <c r="C21" s="37">
        <f>+C15*C25</f>
        <v>406600.80000000005</v>
      </c>
    </row>
    <row r="22" spans="1:3" ht="30.75" customHeight="1" x14ac:dyDescent="0.4">
      <c r="A22" s="25" t="s">
        <v>20</v>
      </c>
      <c r="B22" s="31">
        <f>SUM(B19:B21)</f>
        <v>4806177.25</v>
      </c>
      <c r="C22" s="38">
        <f>SUM(C19:C21)</f>
        <v>406600.80000000005</v>
      </c>
    </row>
    <row r="23" spans="1:3" ht="30.75" customHeight="1" x14ac:dyDescent="0.4">
      <c r="A23" s="16" t="s">
        <v>4</v>
      </c>
      <c r="B23" s="32">
        <f>+(B4+B12)-(B14+B15)</f>
        <v>1843.0100000000002</v>
      </c>
      <c r="C23" s="39">
        <f>+(C4+C12)-(C14+C15)</f>
        <v>2518</v>
      </c>
    </row>
    <row r="24" spans="1:3" ht="30.75" customHeight="1" x14ac:dyDescent="0.4">
      <c r="A24" s="25" t="s">
        <v>17</v>
      </c>
      <c r="B24" s="31">
        <f>+(B11+B13-B22)</f>
        <v>2060506.2275</v>
      </c>
      <c r="C24" s="38">
        <f>+(C11+C13-C22)</f>
        <v>1340079.6000000003</v>
      </c>
    </row>
    <row r="25" spans="1:3" ht="30.75" customHeight="1" x14ac:dyDescent="0.4">
      <c r="A25" s="19" t="s">
        <v>5</v>
      </c>
      <c r="B25" s="44">
        <v>1141</v>
      </c>
      <c r="C25" s="45">
        <v>532.20000000000005</v>
      </c>
    </row>
    <row r="26" spans="1:3" ht="30.75" customHeight="1" thickBot="1" x14ac:dyDescent="0.45">
      <c r="A26" s="22" t="s">
        <v>8</v>
      </c>
      <c r="B26" s="33">
        <f>B24/$C$1</f>
        <v>16.726237713497341</v>
      </c>
      <c r="C26" s="40">
        <f>C24/$C$1</f>
        <v>10.878147149209932</v>
      </c>
    </row>
    <row r="27" spans="1:3" s="3" customFormat="1" ht="39.75" customHeight="1" thickBot="1" x14ac:dyDescent="0.3">
      <c r="A27" s="4" t="s">
        <v>7</v>
      </c>
      <c r="B27" s="34"/>
      <c r="C27" s="41">
        <f>+C26+B26</f>
        <v>27.604384862707271</v>
      </c>
    </row>
    <row r="30" spans="1:3" x14ac:dyDescent="0.4">
      <c r="C30" s="35">
        <f>C24+B24</f>
        <v>3400585.8275000006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B4E8-6EA6-474D-9D96-AEA91194B01D}">
  <sheetPr codeName="Sheet3">
    <pageSetUpPr fitToPage="1"/>
  </sheetPr>
  <dimension ref="A1:C30"/>
  <sheetViews>
    <sheetView topLeftCell="A10" zoomScale="70" zoomScaleNormal="70" workbookViewId="0">
      <selection activeCell="B16" sqref="B16:C18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9.85546875" style="1" customWidth="1"/>
    <col min="5" max="5" width="10" style="1" customWidth="1"/>
    <col min="6" max="16384" width="9.140625" style="1"/>
  </cols>
  <sheetData>
    <row r="1" spans="1:3" ht="23.25" customHeight="1" x14ac:dyDescent="0.4">
      <c r="A1" s="96" t="s">
        <v>6</v>
      </c>
      <c r="B1" s="97"/>
      <c r="C1" s="100">
        <v>147332.01999999999</v>
      </c>
    </row>
    <row r="2" spans="1:3" ht="23.25" customHeight="1" thickBot="1" x14ac:dyDescent="0.45">
      <c r="A2" s="98"/>
      <c r="B2" s="99"/>
      <c r="C2" s="101"/>
    </row>
    <row r="3" spans="1:3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3" ht="30.75" customHeight="1" x14ac:dyDescent="0.4">
      <c r="A4" s="6" t="s">
        <v>16</v>
      </c>
      <c r="B4" s="29">
        <f>SUM(B5:B7)</f>
        <v>5316</v>
      </c>
      <c r="C4" s="36">
        <f>SUM(C5:C7)</f>
        <v>764</v>
      </c>
    </row>
    <row r="5" spans="1:3" ht="30.75" customHeight="1" x14ac:dyDescent="0.4">
      <c r="A5" s="10" t="s">
        <v>9</v>
      </c>
      <c r="B5" s="44">
        <v>901</v>
      </c>
      <c r="C5" s="45"/>
    </row>
    <row r="6" spans="1:3" ht="30.75" customHeight="1" x14ac:dyDescent="0.4">
      <c r="A6" s="10" t="s">
        <v>10</v>
      </c>
      <c r="B6" s="44">
        <v>4415</v>
      </c>
      <c r="C6" s="45"/>
    </row>
    <row r="7" spans="1:3" ht="30.75" customHeight="1" x14ac:dyDescent="0.4">
      <c r="A7" s="10" t="s">
        <v>1</v>
      </c>
      <c r="B7" s="44"/>
      <c r="C7" s="45">
        <v>764</v>
      </c>
    </row>
    <row r="8" spans="1:3" ht="30.75" customHeight="1" x14ac:dyDescent="0.4">
      <c r="A8" s="13" t="s">
        <v>12</v>
      </c>
      <c r="B8" s="30">
        <f>+B5*B25</f>
        <v>1007606.32</v>
      </c>
      <c r="C8" s="36"/>
    </row>
    <row r="9" spans="1:3" ht="30.75" customHeight="1" x14ac:dyDescent="0.4">
      <c r="A9" s="13" t="s">
        <v>11</v>
      </c>
      <c r="B9" s="30">
        <f>+B6*(B25/100*75)</f>
        <v>3703037.1</v>
      </c>
      <c r="C9" s="37"/>
    </row>
    <row r="10" spans="1:3" ht="30.75" customHeight="1" x14ac:dyDescent="0.4">
      <c r="A10" s="13" t="s">
        <v>13</v>
      </c>
      <c r="B10" s="30"/>
      <c r="C10" s="37">
        <f>+C4*C25</f>
        <v>394124.68</v>
      </c>
    </row>
    <row r="11" spans="1:3" ht="30.75" customHeight="1" x14ac:dyDescent="0.4">
      <c r="A11" s="25" t="s">
        <v>15</v>
      </c>
      <c r="B11" s="31">
        <f>SUM(B8:B10)</f>
        <v>4710643.42</v>
      </c>
      <c r="C11" s="38">
        <f>SUM(C8:C10)</f>
        <v>394124.68</v>
      </c>
    </row>
    <row r="12" spans="1:3" ht="30.75" customHeight="1" x14ac:dyDescent="0.4">
      <c r="A12" s="10" t="s">
        <v>2</v>
      </c>
      <c r="B12" s="44">
        <v>2013</v>
      </c>
      <c r="C12" s="45">
        <f>1650+990+1650+10</f>
        <v>4300</v>
      </c>
    </row>
    <row r="13" spans="1:3" ht="30.75" customHeight="1" x14ac:dyDescent="0.4">
      <c r="A13" s="25" t="s">
        <v>14</v>
      </c>
      <c r="B13" s="31">
        <f>+B12*B25</f>
        <v>2251178.1599999997</v>
      </c>
      <c r="C13" s="38">
        <f>+C12*C25</f>
        <v>2218241</v>
      </c>
    </row>
    <row r="14" spans="1:3" ht="30.75" customHeight="1" x14ac:dyDescent="0.4">
      <c r="A14" s="16" t="s">
        <v>3</v>
      </c>
      <c r="B14" s="29"/>
      <c r="C14" s="36"/>
    </row>
    <row r="15" spans="1:3" ht="30.75" customHeight="1" x14ac:dyDescent="0.4">
      <c r="A15" s="10" t="s">
        <v>19</v>
      </c>
      <c r="B15" s="29">
        <f>SUM(B16:B18)</f>
        <v>4467</v>
      </c>
      <c r="C15" s="36">
        <f>SUM(C16:C18)</f>
        <v>764</v>
      </c>
    </row>
    <row r="16" spans="1:3" ht="30.75" customHeight="1" x14ac:dyDescent="0.4">
      <c r="A16" s="10" t="s">
        <v>9</v>
      </c>
      <c r="B16" s="44">
        <v>987</v>
      </c>
      <c r="C16" s="45"/>
    </row>
    <row r="17" spans="1:3" ht="30.75" customHeight="1" x14ac:dyDescent="0.4">
      <c r="A17" s="10" t="s">
        <v>10</v>
      </c>
      <c r="B17" s="44">
        <v>3480</v>
      </c>
      <c r="C17" s="45"/>
    </row>
    <row r="18" spans="1:3" ht="30.75" customHeight="1" x14ac:dyDescent="0.4">
      <c r="A18" s="10" t="s">
        <v>1</v>
      </c>
      <c r="B18" s="44"/>
      <c r="C18" s="45">
        <v>764</v>
      </c>
    </row>
    <row r="19" spans="1:3" ht="30.75" customHeight="1" x14ac:dyDescent="0.4">
      <c r="A19" s="13" t="s">
        <v>12</v>
      </c>
      <c r="B19" s="30">
        <f>+B16*B25</f>
        <v>1103781.8399999999</v>
      </c>
      <c r="C19" s="37"/>
    </row>
    <row r="20" spans="1:3" ht="30.75" customHeight="1" x14ac:dyDescent="0.4">
      <c r="A20" s="13" t="s">
        <v>11</v>
      </c>
      <c r="B20" s="30">
        <f>+B17*(B25/100*75)</f>
        <v>2918815.2</v>
      </c>
      <c r="C20" s="37"/>
    </row>
    <row r="21" spans="1:3" ht="30.75" customHeight="1" x14ac:dyDescent="0.4">
      <c r="A21" s="13" t="s">
        <v>13</v>
      </c>
      <c r="B21" s="30"/>
      <c r="C21" s="37">
        <f>+C15*C25</f>
        <v>394124.68</v>
      </c>
    </row>
    <row r="22" spans="1:3" ht="30.75" customHeight="1" x14ac:dyDescent="0.4">
      <c r="A22" s="25" t="s">
        <v>20</v>
      </c>
      <c r="B22" s="31">
        <f>SUM(B19:B21)</f>
        <v>4022597.04</v>
      </c>
      <c r="C22" s="38">
        <f>SUM(C19:C21)</f>
        <v>394124.68</v>
      </c>
    </row>
    <row r="23" spans="1:3" ht="30.75" customHeight="1" x14ac:dyDescent="0.4">
      <c r="A23" s="16" t="s">
        <v>4</v>
      </c>
      <c r="B23" s="32">
        <f>+(B4+B12)-(B14+B15)</f>
        <v>2862</v>
      </c>
      <c r="C23" s="39">
        <f>+(C4+C12)-(C14+C15)</f>
        <v>4300</v>
      </c>
    </row>
    <row r="24" spans="1:3" ht="30.75" customHeight="1" x14ac:dyDescent="0.4">
      <c r="A24" s="25" t="s">
        <v>17</v>
      </c>
      <c r="B24" s="31">
        <f>+(B11+B13-B22)</f>
        <v>2939224.54</v>
      </c>
      <c r="C24" s="38">
        <f>+(C11+C13-C22)</f>
        <v>2218241</v>
      </c>
    </row>
    <row r="25" spans="1:3" ht="30.75" customHeight="1" x14ac:dyDescent="0.4">
      <c r="A25" s="19" t="s">
        <v>5</v>
      </c>
      <c r="B25" s="44">
        <v>1118.32</v>
      </c>
      <c r="C25" s="45">
        <v>515.87</v>
      </c>
    </row>
    <row r="26" spans="1:3" ht="30.75" customHeight="1" thickBot="1" x14ac:dyDescent="0.45">
      <c r="A26" s="22" t="s">
        <v>8</v>
      </c>
      <c r="B26" s="33">
        <f>B24/$C$1</f>
        <v>19.949665659915613</v>
      </c>
      <c r="C26" s="40">
        <f>C24/$C$1</f>
        <v>15.056068599344529</v>
      </c>
    </row>
    <row r="27" spans="1:3" s="3" customFormat="1" ht="39.75" customHeight="1" thickBot="1" x14ac:dyDescent="0.3">
      <c r="A27" s="4" t="s">
        <v>7</v>
      </c>
      <c r="B27" s="34"/>
      <c r="C27" s="41">
        <f>+C26+B26</f>
        <v>35.005734259260144</v>
      </c>
    </row>
    <row r="30" spans="1:3" x14ac:dyDescent="0.4">
      <c r="C30" s="35">
        <f>C24+B24</f>
        <v>5157465.54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4399-F699-4E46-A7A9-CE6116AF2370}">
  <sheetPr codeName="Sheet4">
    <pageSetUpPr fitToPage="1"/>
  </sheetPr>
  <dimension ref="A1:D30"/>
  <sheetViews>
    <sheetView topLeftCell="A8" zoomScale="70" zoomScaleNormal="70" workbookViewId="0">
      <selection activeCell="B12" sqref="B12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9.85546875" style="1" customWidth="1"/>
    <col min="5" max="5" width="10" style="1" customWidth="1"/>
    <col min="6" max="16384" width="9.140625" style="1"/>
  </cols>
  <sheetData>
    <row r="1" spans="1:3" ht="23.25" customHeight="1" x14ac:dyDescent="0.4">
      <c r="A1" s="96" t="s">
        <v>6</v>
      </c>
      <c r="B1" s="97"/>
      <c r="C1" s="100">
        <v>87462.68</v>
      </c>
    </row>
    <row r="2" spans="1:3" ht="23.25" customHeight="1" thickBot="1" x14ac:dyDescent="0.45">
      <c r="A2" s="98"/>
      <c r="B2" s="99"/>
      <c r="C2" s="101"/>
    </row>
    <row r="3" spans="1:3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3" ht="30.75" customHeight="1" x14ac:dyDescent="0.4">
      <c r="A4" s="6" t="s">
        <v>16</v>
      </c>
      <c r="B4" s="29">
        <f>SUM(B5:B7)</f>
        <v>4467</v>
      </c>
      <c r="C4" s="36">
        <f>SUM(C5:C7)</f>
        <v>764</v>
      </c>
    </row>
    <row r="5" spans="1:3" ht="30.75" customHeight="1" x14ac:dyDescent="0.4">
      <c r="A5" s="10" t="s">
        <v>9</v>
      </c>
      <c r="B5" s="44">
        <v>987</v>
      </c>
      <c r="C5" s="45"/>
    </row>
    <row r="6" spans="1:3" ht="30.75" customHeight="1" x14ac:dyDescent="0.4">
      <c r="A6" s="10" t="s">
        <v>10</v>
      </c>
      <c r="B6" s="44">
        <v>3480</v>
      </c>
      <c r="C6" s="45"/>
    </row>
    <row r="7" spans="1:3" ht="30.75" customHeight="1" x14ac:dyDescent="0.4">
      <c r="A7" s="10" t="s">
        <v>1</v>
      </c>
      <c r="B7" s="44"/>
      <c r="C7" s="45">
        <v>764</v>
      </c>
    </row>
    <row r="8" spans="1:3" ht="30.75" customHeight="1" x14ac:dyDescent="0.4">
      <c r="A8" s="13" t="s">
        <v>12</v>
      </c>
      <c r="B8" s="30">
        <f>+B5*B25</f>
        <v>1323162.3299999998</v>
      </c>
      <c r="C8" s="36"/>
    </row>
    <row r="9" spans="1:3" ht="30.75" customHeight="1" x14ac:dyDescent="0.4">
      <c r="A9" s="13" t="s">
        <v>11</v>
      </c>
      <c r="B9" s="30">
        <f>+B6*(B25/100*75)</f>
        <v>3498939.8999999994</v>
      </c>
      <c r="C9" s="37"/>
    </row>
    <row r="10" spans="1:3" ht="30.75" customHeight="1" x14ac:dyDescent="0.4">
      <c r="A10" s="13" t="s">
        <v>13</v>
      </c>
      <c r="B10" s="30"/>
      <c r="C10" s="37">
        <f>+C4*C25</f>
        <v>356344.88</v>
      </c>
    </row>
    <row r="11" spans="1:3" ht="30.75" customHeight="1" x14ac:dyDescent="0.4">
      <c r="A11" s="25" t="s">
        <v>15</v>
      </c>
      <c r="B11" s="31">
        <f>SUM(B8:B10)</f>
        <v>4822102.2299999995</v>
      </c>
      <c r="C11" s="38">
        <f>SUM(C8:C10)</f>
        <v>356344.88</v>
      </c>
    </row>
    <row r="12" spans="1:3" ht="30.75" customHeight="1" x14ac:dyDescent="0.4">
      <c r="A12" s="10" t="s">
        <v>2</v>
      </c>
      <c r="B12" s="44">
        <v>1552</v>
      </c>
      <c r="C12" s="45">
        <v>4446</v>
      </c>
    </row>
    <row r="13" spans="1:3" ht="30.75" customHeight="1" x14ac:dyDescent="0.4">
      <c r="A13" s="25" t="s">
        <v>14</v>
      </c>
      <c r="B13" s="31">
        <f>+B12*B25</f>
        <v>2080595.68</v>
      </c>
      <c r="C13" s="38">
        <f>+C12*C25</f>
        <v>2073703.32</v>
      </c>
    </row>
    <row r="14" spans="1:3" ht="30.75" customHeight="1" x14ac:dyDescent="0.4">
      <c r="A14" s="16" t="s">
        <v>3</v>
      </c>
      <c r="B14" s="29"/>
      <c r="C14" s="36"/>
    </row>
    <row r="15" spans="1:3" ht="30.75" customHeight="1" x14ac:dyDescent="0.4">
      <c r="A15" s="10" t="s">
        <v>19</v>
      </c>
      <c r="B15" s="29">
        <f>SUM(B16:B18)</f>
        <v>5373</v>
      </c>
      <c r="C15" s="36">
        <f>SUM(C16:C18)</f>
        <v>720</v>
      </c>
    </row>
    <row r="16" spans="1:3" ht="30.75" customHeight="1" x14ac:dyDescent="0.4">
      <c r="A16" s="10" t="s">
        <v>9</v>
      </c>
      <c r="B16" s="44">
        <v>959</v>
      </c>
      <c r="C16" s="45"/>
    </row>
    <row r="17" spans="1:4" ht="30.75" customHeight="1" x14ac:dyDescent="0.4">
      <c r="A17" s="10" t="s">
        <v>10</v>
      </c>
      <c r="B17" s="44">
        <v>4414</v>
      </c>
      <c r="C17" s="45"/>
    </row>
    <row r="18" spans="1:4" ht="30.75" customHeight="1" x14ac:dyDescent="0.4">
      <c r="A18" s="10" t="s">
        <v>1</v>
      </c>
      <c r="B18" s="44"/>
      <c r="C18" s="45">
        <v>720</v>
      </c>
    </row>
    <row r="19" spans="1:4" ht="30.75" customHeight="1" x14ac:dyDescent="0.4">
      <c r="A19" s="13" t="s">
        <v>12</v>
      </c>
      <c r="B19" s="30">
        <f>+B16*B25</f>
        <v>1285625.8099999998</v>
      </c>
      <c r="C19" s="37"/>
    </row>
    <row r="20" spans="1:4" ht="30.75" customHeight="1" x14ac:dyDescent="0.4">
      <c r="A20" s="13" t="s">
        <v>11</v>
      </c>
      <c r="B20" s="30">
        <f>+B17*(B25/100*75)</f>
        <v>4438023.1949999994</v>
      </c>
      <c r="C20" s="37"/>
    </row>
    <row r="21" spans="1:4" ht="30.75" customHeight="1" x14ac:dyDescent="0.4">
      <c r="A21" s="13" t="s">
        <v>13</v>
      </c>
      <c r="B21" s="30"/>
      <c r="C21" s="37">
        <f>+C15*C25</f>
        <v>335822.4</v>
      </c>
    </row>
    <row r="22" spans="1:4" ht="30.75" customHeight="1" x14ac:dyDescent="0.4">
      <c r="A22" s="25" t="s">
        <v>20</v>
      </c>
      <c r="B22" s="31">
        <f>SUM(B19:B21)</f>
        <v>5723649.004999999</v>
      </c>
      <c r="C22" s="38">
        <f>SUM(C19:C21)</f>
        <v>335822.4</v>
      </c>
    </row>
    <row r="23" spans="1:4" ht="30.75" customHeight="1" x14ac:dyDescent="0.4">
      <c r="A23" s="16" t="s">
        <v>4</v>
      </c>
      <c r="B23" s="32">
        <f>+(B4+B12)-(B14+B15)</f>
        <v>646</v>
      </c>
      <c r="C23" s="39">
        <f>+(C4+C12)-(C14+C15)</f>
        <v>4490</v>
      </c>
    </row>
    <row r="24" spans="1:4" ht="30.75" customHeight="1" x14ac:dyDescent="0.4">
      <c r="A24" s="25" t="s">
        <v>17</v>
      </c>
      <c r="B24" s="31">
        <f>+(B11+B13-B22)</f>
        <v>1179048.9050000003</v>
      </c>
      <c r="C24" s="38">
        <f>+(C11+C13-C22)</f>
        <v>2094225.8000000003</v>
      </c>
    </row>
    <row r="25" spans="1:4" ht="30.75" customHeight="1" x14ac:dyDescent="0.4">
      <c r="A25" s="19" t="s">
        <v>5</v>
      </c>
      <c r="B25" s="44">
        <v>1340.59</v>
      </c>
      <c r="C25" s="45">
        <v>466.42</v>
      </c>
    </row>
    <row r="26" spans="1:4" ht="30.75" customHeight="1" thickBot="1" x14ac:dyDescent="0.45">
      <c r="A26" s="22" t="s">
        <v>8</v>
      </c>
      <c r="B26" s="33">
        <f>B24/$C$1</f>
        <v>13.480594294618006</v>
      </c>
      <c r="C26" s="40">
        <f>C24/$C$1</f>
        <v>23.944221695470578</v>
      </c>
    </row>
    <row r="27" spans="1:4" s="3" customFormat="1" ht="39.75" customHeight="1" thickBot="1" x14ac:dyDescent="0.3">
      <c r="A27" s="4" t="s">
        <v>7</v>
      </c>
      <c r="B27" s="34"/>
      <c r="C27" s="41">
        <f>+C26+B26</f>
        <v>37.424815990088582</v>
      </c>
      <c r="D27" s="3">
        <v>37.409999999999997</v>
      </c>
    </row>
    <row r="30" spans="1:4" x14ac:dyDescent="0.4">
      <c r="C30" s="35">
        <f>C24+B24</f>
        <v>3273274.7050000005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A9F0-B860-4E1F-9DE3-A53652A8FC4C}">
  <sheetPr codeName="Sheet5">
    <pageSetUpPr fitToPage="1"/>
  </sheetPr>
  <dimension ref="A1:C27"/>
  <sheetViews>
    <sheetView topLeftCell="A10" zoomScale="70" zoomScaleNormal="70" workbookViewId="0">
      <selection activeCell="B16" sqref="B16:C18"/>
    </sheetView>
  </sheetViews>
  <sheetFormatPr defaultColWidth="9.140625" defaultRowHeight="24" x14ac:dyDescent="0.4"/>
  <cols>
    <col min="1" max="1" width="33.85546875" style="1" bestFit="1" customWidth="1"/>
    <col min="2" max="2" width="35.85546875" style="1" bestFit="1" customWidth="1"/>
    <col min="3" max="3" width="35.140625" style="1" bestFit="1" customWidth="1"/>
    <col min="4" max="4" width="9.85546875" style="1" customWidth="1"/>
    <col min="5" max="5" width="10" style="1" customWidth="1"/>
    <col min="6" max="16384" width="9.140625" style="1"/>
  </cols>
  <sheetData>
    <row r="1" spans="1:3" ht="23.25" customHeight="1" x14ac:dyDescent="0.4">
      <c r="A1" s="96" t="s">
        <v>6</v>
      </c>
      <c r="B1" s="97"/>
      <c r="C1" s="102">
        <v>222812</v>
      </c>
    </row>
    <row r="2" spans="1:3" ht="23.25" customHeight="1" thickBot="1" x14ac:dyDescent="0.45">
      <c r="A2" s="98"/>
      <c r="B2" s="99"/>
      <c r="C2" s="103"/>
    </row>
    <row r="3" spans="1:3" s="3" customFormat="1" ht="33.75" customHeight="1" thickBot="1" x14ac:dyDescent="0.3">
      <c r="A3" s="8" t="s">
        <v>18</v>
      </c>
      <c r="B3" s="9" t="s">
        <v>0</v>
      </c>
      <c r="C3" s="9" t="s">
        <v>1</v>
      </c>
    </row>
    <row r="4" spans="1:3" ht="30.75" customHeight="1" x14ac:dyDescent="0.4">
      <c r="A4" s="6" t="s">
        <v>16</v>
      </c>
      <c r="B4" s="7">
        <f>SUM(B5:B7)</f>
        <v>5373</v>
      </c>
      <c r="C4" s="2">
        <f>SUM(C5:C7)</f>
        <v>720</v>
      </c>
    </row>
    <row r="5" spans="1:3" ht="30.75" customHeight="1" x14ac:dyDescent="0.4">
      <c r="A5" s="10" t="s">
        <v>9</v>
      </c>
      <c r="B5" s="42">
        <v>959</v>
      </c>
      <c r="C5" s="43"/>
    </row>
    <row r="6" spans="1:3" ht="30.75" customHeight="1" x14ac:dyDescent="0.4">
      <c r="A6" s="10" t="s">
        <v>10</v>
      </c>
      <c r="B6" s="42">
        <v>4414</v>
      </c>
      <c r="C6" s="43"/>
    </row>
    <row r="7" spans="1:3" ht="30.75" customHeight="1" x14ac:dyDescent="0.4">
      <c r="A7" s="10" t="s">
        <v>1</v>
      </c>
      <c r="B7" s="42"/>
      <c r="C7" s="43">
        <v>720</v>
      </c>
    </row>
    <row r="8" spans="1:3" ht="30.75" customHeight="1" x14ac:dyDescent="0.4">
      <c r="A8" s="13" t="s">
        <v>12</v>
      </c>
      <c r="B8" s="14">
        <f>+B5*B25</f>
        <v>911663.76</v>
      </c>
      <c r="C8" s="15"/>
    </row>
    <row r="9" spans="1:3" ht="30.75" customHeight="1" x14ac:dyDescent="0.4">
      <c r="A9" s="13" t="s">
        <v>11</v>
      </c>
      <c r="B9" s="14">
        <f>+B6*(B25/100*75)</f>
        <v>3147093.7199999997</v>
      </c>
      <c r="C9" s="15"/>
    </row>
    <row r="10" spans="1:3" ht="30.75" customHeight="1" x14ac:dyDescent="0.4">
      <c r="A10" s="13" t="s">
        <v>13</v>
      </c>
      <c r="B10" s="14"/>
      <c r="C10" s="15">
        <f>+C4*C25</f>
        <v>302400</v>
      </c>
    </row>
    <row r="11" spans="1:3" ht="30.75" customHeight="1" x14ac:dyDescent="0.4">
      <c r="A11" s="25" t="s">
        <v>15</v>
      </c>
      <c r="B11" s="26">
        <f>SUM(B8:B10)</f>
        <v>4058757.4799999995</v>
      </c>
      <c r="C11" s="27">
        <f>SUM(C8:C10)</f>
        <v>302400</v>
      </c>
    </row>
    <row r="12" spans="1:3" ht="30.75" customHeight="1" x14ac:dyDescent="0.4">
      <c r="A12" s="10" t="s">
        <v>2</v>
      </c>
      <c r="B12" s="11">
        <v>1778</v>
      </c>
      <c r="C12" s="12">
        <f>495+3300</f>
        <v>3795</v>
      </c>
    </row>
    <row r="13" spans="1:3" ht="30.75" customHeight="1" x14ac:dyDescent="0.4">
      <c r="A13" s="25" t="s">
        <v>14</v>
      </c>
      <c r="B13" s="26">
        <f>+B12*B25</f>
        <v>1690237.92</v>
      </c>
      <c r="C13" s="27">
        <f>+C12*C25</f>
        <v>1593900</v>
      </c>
    </row>
    <row r="14" spans="1:3" ht="30.75" customHeight="1" x14ac:dyDescent="0.4">
      <c r="A14" s="16" t="s">
        <v>3</v>
      </c>
      <c r="B14" s="11"/>
      <c r="C14" s="12"/>
    </row>
    <row r="15" spans="1:3" ht="30.75" customHeight="1" x14ac:dyDescent="0.4">
      <c r="A15" s="10" t="s">
        <v>19</v>
      </c>
      <c r="B15" s="11">
        <f>SUM(B16:B18)</f>
        <v>5926.18</v>
      </c>
      <c r="C15" s="12">
        <f>SUM(C16:C18)</f>
        <v>696</v>
      </c>
    </row>
    <row r="16" spans="1:3" ht="30.75" customHeight="1" x14ac:dyDescent="0.4">
      <c r="A16" s="10" t="s">
        <v>9</v>
      </c>
      <c r="B16" s="11">
        <v>1156.18</v>
      </c>
      <c r="C16" s="12"/>
    </row>
    <row r="17" spans="1:3" ht="30.75" customHeight="1" x14ac:dyDescent="0.4">
      <c r="A17" s="10" t="s">
        <v>10</v>
      </c>
      <c r="B17" s="11">
        <v>4770</v>
      </c>
      <c r="C17" s="12"/>
    </row>
    <row r="18" spans="1:3" ht="30.75" customHeight="1" x14ac:dyDescent="0.4">
      <c r="A18" s="10" t="s">
        <v>1</v>
      </c>
      <c r="B18" s="11"/>
      <c r="C18" s="12">
        <v>696</v>
      </c>
    </row>
    <row r="19" spans="1:3" ht="30.75" customHeight="1" x14ac:dyDescent="0.4">
      <c r="A19" s="13" t="s">
        <v>12</v>
      </c>
      <c r="B19" s="14">
        <f>+B16*B25</f>
        <v>1099110.9552</v>
      </c>
      <c r="C19" s="15"/>
    </row>
    <row r="20" spans="1:3" ht="30.75" customHeight="1" x14ac:dyDescent="0.4">
      <c r="A20" s="13" t="s">
        <v>11</v>
      </c>
      <c r="B20" s="14">
        <f>+B17*(B25/100*75)</f>
        <v>3400914.5999999996</v>
      </c>
      <c r="C20" s="15"/>
    </row>
    <row r="21" spans="1:3" ht="30.75" customHeight="1" x14ac:dyDescent="0.4">
      <c r="A21" s="13" t="s">
        <v>13</v>
      </c>
      <c r="B21" s="14"/>
      <c r="C21" s="15">
        <f>+C15*C25</f>
        <v>292320</v>
      </c>
    </row>
    <row r="22" spans="1:3" ht="30.75" customHeight="1" x14ac:dyDescent="0.4">
      <c r="A22" s="25" t="s">
        <v>20</v>
      </c>
      <c r="B22" s="26">
        <f>SUM(B19:B21)</f>
        <v>4500025.5551999994</v>
      </c>
      <c r="C22" s="27">
        <f>SUM(C19:C21)</f>
        <v>292320</v>
      </c>
    </row>
    <row r="23" spans="1:3" ht="30.75" customHeight="1" x14ac:dyDescent="0.4">
      <c r="A23" s="16" t="s">
        <v>4</v>
      </c>
      <c r="B23" s="17">
        <f>+(B4+B12)-(B14+B15)</f>
        <v>1224.8199999999997</v>
      </c>
      <c r="C23" s="18">
        <f>+(C4+C12)-(C14+C15)</f>
        <v>3819</v>
      </c>
    </row>
    <row r="24" spans="1:3" ht="30.75" customHeight="1" x14ac:dyDescent="0.4">
      <c r="A24" s="25" t="s">
        <v>17</v>
      </c>
      <c r="B24" s="26">
        <f>+(B11+B13-B22)</f>
        <v>1248969.8448000001</v>
      </c>
      <c r="C24" s="27">
        <f>+(C11+C13-C22)</f>
        <v>1603980</v>
      </c>
    </row>
    <row r="25" spans="1:3" ht="30.75" customHeight="1" x14ac:dyDescent="0.4">
      <c r="A25" s="19" t="s">
        <v>5</v>
      </c>
      <c r="B25" s="20">
        <v>950.64</v>
      </c>
      <c r="C25" s="21">
        <v>420</v>
      </c>
    </row>
    <row r="26" spans="1:3" ht="30.75" customHeight="1" thickBot="1" x14ac:dyDescent="0.45">
      <c r="A26" s="22" t="s">
        <v>8</v>
      </c>
      <c r="B26" s="23">
        <f>B24/$C$1</f>
        <v>5.6054873382044059</v>
      </c>
      <c r="C26" s="24">
        <f>C24/$C$1</f>
        <v>7.1988043731935445</v>
      </c>
    </row>
    <row r="27" spans="1:3" s="3" customFormat="1" ht="39.75" customHeight="1" thickBot="1" x14ac:dyDescent="0.3">
      <c r="A27" s="4" t="s">
        <v>7</v>
      </c>
      <c r="C27" s="5">
        <f>+C26+B26</f>
        <v>12.804291711397951</v>
      </c>
    </row>
  </sheetData>
  <mergeCells count="2">
    <mergeCell ref="C1:C2"/>
    <mergeCell ref="A1:B2"/>
  </mergeCells>
  <pageMargins left="0.49" right="0.3" top="0.17" bottom="0.24" header="0.18" footer="0.3"/>
  <pageSetup scale="3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F18C-02F8-4F8F-AD61-E2CAD72DADD2}">
  <sheetPr codeName="Sheet6">
    <pageSetUpPr fitToPage="1"/>
  </sheetPr>
  <dimension ref="A1:C30"/>
  <sheetViews>
    <sheetView topLeftCell="A15" zoomScale="70" zoomScaleNormal="70" workbookViewId="0">
      <selection activeCell="D25" sqref="D25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9.85546875" style="1" customWidth="1"/>
    <col min="5" max="5" width="10" style="1" customWidth="1"/>
    <col min="6" max="16384" width="9.140625" style="1"/>
  </cols>
  <sheetData>
    <row r="1" spans="1:3" ht="23.25" customHeight="1" x14ac:dyDescent="0.4">
      <c r="A1" s="96" t="s">
        <v>6</v>
      </c>
      <c r="B1" s="97"/>
      <c r="C1" s="100">
        <v>136837.31</v>
      </c>
    </row>
    <row r="2" spans="1:3" ht="23.25" customHeight="1" thickBot="1" x14ac:dyDescent="0.45">
      <c r="A2" s="98"/>
      <c r="B2" s="99"/>
      <c r="C2" s="101"/>
    </row>
    <row r="3" spans="1:3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3" ht="30.75" customHeight="1" x14ac:dyDescent="0.4">
      <c r="A4" s="6" t="s">
        <v>16</v>
      </c>
      <c r="B4" s="29">
        <f>SUM(B5:B7)</f>
        <v>5926.18</v>
      </c>
      <c r="C4" s="36">
        <f>SUM(C5:C7)</f>
        <v>696</v>
      </c>
    </row>
    <row r="5" spans="1:3" ht="30.75" customHeight="1" x14ac:dyDescent="0.4">
      <c r="A5" s="10" t="s">
        <v>9</v>
      </c>
      <c r="B5" s="44">
        <v>1156.18</v>
      </c>
      <c r="C5" s="45"/>
    </row>
    <row r="6" spans="1:3" ht="30.75" customHeight="1" x14ac:dyDescent="0.4">
      <c r="A6" s="10" t="s">
        <v>10</v>
      </c>
      <c r="B6" s="44">
        <v>4770</v>
      </c>
      <c r="C6" s="45"/>
    </row>
    <row r="7" spans="1:3" ht="30.75" customHeight="1" x14ac:dyDescent="0.4">
      <c r="A7" s="10" t="s">
        <v>1</v>
      </c>
      <c r="B7" s="44"/>
      <c r="C7" s="45">
        <v>696</v>
      </c>
    </row>
    <row r="8" spans="1:3" ht="30.75" customHeight="1" x14ac:dyDescent="0.4">
      <c r="A8" s="13" t="s">
        <v>12</v>
      </c>
      <c r="B8" s="30">
        <f>+B5*B25</f>
        <v>1358511.5</v>
      </c>
      <c r="C8" s="36"/>
    </row>
    <row r="9" spans="1:3" ht="30.75" customHeight="1" x14ac:dyDescent="0.4">
      <c r="A9" s="13" t="s">
        <v>11</v>
      </c>
      <c r="B9" s="30">
        <f>+B6*(B25/100*75)</f>
        <v>4203562.5</v>
      </c>
      <c r="C9" s="37"/>
    </row>
    <row r="10" spans="1:3" ht="30.75" customHeight="1" x14ac:dyDescent="0.4">
      <c r="A10" s="13" t="s">
        <v>13</v>
      </c>
      <c r="B10" s="30"/>
      <c r="C10" s="37">
        <f>+C4*C25</f>
        <v>292320</v>
      </c>
    </row>
    <row r="11" spans="1:3" ht="30.75" customHeight="1" x14ac:dyDescent="0.4">
      <c r="A11" s="25" t="s">
        <v>15</v>
      </c>
      <c r="B11" s="31">
        <f>SUM(B8:B10)</f>
        <v>5562074</v>
      </c>
      <c r="C11" s="38">
        <f>SUM(C8:C10)</f>
        <v>292320</v>
      </c>
    </row>
    <row r="12" spans="1:3" ht="30.75" customHeight="1" x14ac:dyDescent="0.4">
      <c r="A12" s="10" t="s">
        <v>2</v>
      </c>
      <c r="B12" s="44">
        <v>1350</v>
      </c>
      <c r="C12" s="45">
        <f>165+3135+330</f>
        <v>3630</v>
      </c>
    </row>
    <row r="13" spans="1:3" ht="30.75" customHeight="1" x14ac:dyDescent="0.4">
      <c r="A13" s="25" t="s">
        <v>14</v>
      </c>
      <c r="B13" s="31">
        <f>+B12*B25</f>
        <v>1586250</v>
      </c>
      <c r="C13" s="38">
        <f>+C12*C25</f>
        <v>1524600</v>
      </c>
    </row>
    <row r="14" spans="1:3" ht="30.75" customHeight="1" x14ac:dyDescent="0.4">
      <c r="A14" s="16" t="s">
        <v>3</v>
      </c>
      <c r="B14" s="29"/>
      <c r="C14" s="36"/>
    </row>
    <row r="15" spans="1:3" ht="30.75" customHeight="1" x14ac:dyDescent="0.4">
      <c r="A15" s="10" t="s">
        <v>19</v>
      </c>
      <c r="B15" s="29">
        <f>SUM(B16:B18)</f>
        <v>5146.2</v>
      </c>
      <c r="C15" s="36">
        <f>SUM(C16:C18)</f>
        <v>446.5</v>
      </c>
    </row>
    <row r="16" spans="1:3" ht="30.75" customHeight="1" x14ac:dyDescent="0.4">
      <c r="A16" s="10" t="s">
        <v>9</v>
      </c>
      <c r="B16" s="44">
        <v>821.2</v>
      </c>
      <c r="C16" s="45"/>
    </row>
    <row r="17" spans="1:3" ht="30.75" customHeight="1" x14ac:dyDescent="0.4">
      <c r="A17" s="10" t="s">
        <v>10</v>
      </c>
      <c r="B17" s="44">
        <v>4325</v>
      </c>
      <c r="C17" s="45"/>
    </row>
    <row r="18" spans="1:3" ht="30.75" customHeight="1" x14ac:dyDescent="0.4">
      <c r="A18" s="10" t="s">
        <v>1</v>
      </c>
      <c r="B18" s="44"/>
      <c r="C18" s="45">
        <v>446.5</v>
      </c>
    </row>
    <row r="19" spans="1:3" ht="30.75" customHeight="1" x14ac:dyDescent="0.4">
      <c r="A19" s="13" t="s">
        <v>12</v>
      </c>
      <c r="B19" s="30">
        <f>+B16*B25</f>
        <v>964910</v>
      </c>
      <c r="C19" s="37"/>
    </row>
    <row r="20" spans="1:3" ht="30.75" customHeight="1" x14ac:dyDescent="0.4">
      <c r="A20" s="13" t="s">
        <v>11</v>
      </c>
      <c r="B20" s="30">
        <f>+B17*(B25/100*75)</f>
        <v>3811406.25</v>
      </c>
      <c r="C20" s="37"/>
    </row>
    <row r="21" spans="1:3" ht="30.75" customHeight="1" x14ac:dyDescent="0.4">
      <c r="A21" s="13" t="s">
        <v>13</v>
      </c>
      <c r="B21" s="30"/>
      <c r="C21" s="37">
        <f>+C15*C25</f>
        <v>187530</v>
      </c>
    </row>
    <row r="22" spans="1:3" ht="30.75" customHeight="1" x14ac:dyDescent="0.4">
      <c r="A22" s="25" t="s">
        <v>20</v>
      </c>
      <c r="B22" s="31">
        <f>SUM(B19:B21)</f>
        <v>4776316.25</v>
      </c>
      <c r="C22" s="38">
        <f>SUM(C19:C21)</f>
        <v>187530</v>
      </c>
    </row>
    <row r="23" spans="1:3" ht="30.75" customHeight="1" x14ac:dyDescent="0.4">
      <c r="A23" s="16" t="s">
        <v>4</v>
      </c>
      <c r="B23" s="32">
        <f>+(B4+B12)-(B14+B15)</f>
        <v>2129.9800000000005</v>
      </c>
      <c r="C23" s="39">
        <f>+(C4+C12)-(C14+C15)</f>
        <v>3879.5</v>
      </c>
    </row>
    <row r="24" spans="1:3" ht="30.75" customHeight="1" x14ac:dyDescent="0.4">
      <c r="A24" s="25" t="s">
        <v>17</v>
      </c>
      <c r="B24" s="31">
        <f>+(B11+B13-B22)</f>
        <v>2372007.75</v>
      </c>
      <c r="C24" s="38">
        <f>+(C11+C13-C22)</f>
        <v>1629390</v>
      </c>
    </row>
    <row r="25" spans="1:3" ht="30.75" customHeight="1" x14ac:dyDescent="0.4">
      <c r="A25" s="19" t="s">
        <v>5</v>
      </c>
      <c r="B25" s="44">
        <v>1175</v>
      </c>
      <c r="C25" s="45">
        <v>420</v>
      </c>
    </row>
    <row r="26" spans="1:3" ht="30.75" customHeight="1" thickBot="1" x14ac:dyDescent="0.45">
      <c r="A26" s="22" t="s">
        <v>8</v>
      </c>
      <c r="B26" s="33">
        <f>B24/$C$1</f>
        <v>17.334510229702705</v>
      </c>
      <c r="C26" s="40">
        <f>C24/$C$1</f>
        <v>11.907498035440772</v>
      </c>
    </row>
    <row r="27" spans="1:3" s="3" customFormat="1" ht="39.75" customHeight="1" thickBot="1" x14ac:dyDescent="0.3">
      <c r="A27" s="4" t="s">
        <v>7</v>
      </c>
      <c r="B27" s="34"/>
      <c r="C27" s="41">
        <f>+C26+B26</f>
        <v>29.242008265143475</v>
      </c>
    </row>
    <row r="30" spans="1:3" x14ac:dyDescent="0.4">
      <c r="C30" s="35">
        <f>C24+B24</f>
        <v>4001397.75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F566-1B03-40B7-96EF-29A5E204D32E}">
  <sheetPr>
    <pageSetUpPr fitToPage="1"/>
  </sheetPr>
  <dimension ref="A1:L30"/>
  <sheetViews>
    <sheetView topLeftCell="A10" zoomScale="70" zoomScaleNormal="70" workbookViewId="0">
      <selection activeCell="C27" sqref="C27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9.85546875" style="1" customWidth="1"/>
    <col min="5" max="5" width="10" style="1" customWidth="1"/>
    <col min="6" max="6" width="23.28515625" style="1" bestFit="1" customWidth="1"/>
    <col min="7" max="9" width="9.140625" style="1"/>
    <col min="10" max="10" width="25.85546875" style="1" customWidth="1"/>
    <col min="11" max="11" width="23.85546875" style="1" customWidth="1"/>
    <col min="12" max="12" width="12.85546875" style="1" bestFit="1" customWidth="1"/>
    <col min="13" max="16384" width="9.140625" style="1"/>
  </cols>
  <sheetData>
    <row r="1" spans="1:12" ht="23.25" customHeight="1" x14ac:dyDescent="0.4">
      <c r="A1" s="96" t="s">
        <v>6</v>
      </c>
      <c r="B1" s="97"/>
      <c r="C1" s="100">
        <v>125074.8</v>
      </c>
    </row>
    <row r="2" spans="1:12" ht="23.25" customHeight="1" thickBot="1" x14ac:dyDescent="0.45">
      <c r="A2" s="98"/>
      <c r="B2" s="99"/>
      <c r="C2" s="101"/>
    </row>
    <row r="3" spans="1:12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12" ht="30.75" customHeight="1" x14ac:dyDescent="0.4">
      <c r="A4" s="6" t="s">
        <v>16</v>
      </c>
      <c r="B4" s="29">
        <f>SUM(B5:B7)</f>
        <v>3072.4299999999994</v>
      </c>
      <c r="C4" s="36">
        <f>SUM(C5:C7)</f>
        <v>446.5</v>
      </c>
      <c r="F4" s="1" t="s">
        <v>19</v>
      </c>
      <c r="G4" s="1">
        <v>5477.68</v>
      </c>
      <c r="H4" s="1">
        <v>446.5</v>
      </c>
    </row>
    <row r="5" spans="1:12" ht="30.75" customHeight="1" x14ac:dyDescent="0.4">
      <c r="A5" s="10" t="s">
        <v>9</v>
      </c>
      <c r="B5" s="44">
        <v>821.2</v>
      </c>
      <c r="C5" s="45"/>
      <c r="F5" s="1" t="s">
        <v>9</v>
      </c>
      <c r="G5" s="1">
        <v>821.2</v>
      </c>
    </row>
    <row r="6" spans="1:12" ht="30.75" customHeight="1" x14ac:dyDescent="0.4">
      <c r="A6" s="10" t="s">
        <v>10</v>
      </c>
      <c r="B6" s="44">
        <f>4656.48-2405.25</f>
        <v>2251.2299999999996</v>
      </c>
      <c r="C6" s="45"/>
      <c r="F6" s="1" t="s">
        <v>10</v>
      </c>
      <c r="G6" s="1">
        <v>4656.4800000000005</v>
      </c>
      <c r="J6" s="1">
        <v>4656.4799999999996</v>
      </c>
      <c r="K6" s="35">
        <v>4253694.4800000004</v>
      </c>
      <c r="L6" s="50">
        <f>K6/J6</f>
        <v>913.50000000000023</v>
      </c>
    </row>
    <row r="7" spans="1:12" ht="30.75" customHeight="1" x14ac:dyDescent="0.4">
      <c r="A7" s="10" t="s">
        <v>1</v>
      </c>
      <c r="B7" s="44"/>
      <c r="C7" s="45">
        <v>446.5</v>
      </c>
      <c r="F7" s="1" t="s">
        <v>1</v>
      </c>
      <c r="H7" s="1">
        <v>446.5</v>
      </c>
      <c r="J7" s="1">
        <v>2405.25</v>
      </c>
      <c r="K7" s="50">
        <f>L6*J7</f>
        <v>2197195.8750000005</v>
      </c>
    </row>
    <row r="8" spans="1:12" ht="30.75" customHeight="1" x14ac:dyDescent="0.4">
      <c r="A8" s="13" t="s">
        <v>12</v>
      </c>
      <c r="B8" s="30">
        <v>1000221.6000000001</v>
      </c>
      <c r="C8" s="36"/>
      <c r="F8" s="50">
        <f>B5*G8</f>
        <v>1000221.6000000001</v>
      </c>
      <c r="G8" s="1">
        <v>1218</v>
      </c>
      <c r="K8" s="50">
        <f>K6-K7</f>
        <v>2056498.605</v>
      </c>
    </row>
    <row r="9" spans="1:12" ht="30.75" customHeight="1" x14ac:dyDescent="0.4">
      <c r="A9" s="13" t="s">
        <v>11</v>
      </c>
      <c r="B9" s="30">
        <v>2056498.6049999995</v>
      </c>
      <c r="C9" s="37"/>
      <c r="F9" s="50">
        <f>B6*G9</f>
        <v>2056498.6049999995</v>
      </c>
      <c r="G9" s="1">
        <v>913.5</v>
      </c>
    </row>
    <row r="10" spans="1:12" ht="30.75" customHeight="1" x14ac:dyDescent="0.4">
      <c r="A10" s="13" t="s">
        <v>13</v>
      </c>
      <c r="B10" s="30"/>
      <c r="C10" s="37">
        <f>+C4*C25</f>
        <v>187530</v>
      </c>
    </row>
    <row r="11" spans="1:12" ht="30.75" customHeight="1" x14ac:dyDescent="0.4">
      <c r="A11" s="51" t="s">
        <v>15</v>
      </c>
      <c r="B11" s="52">
        <f>SUM(B8:B10)</f>
        <v>3056720.2049999996</v>
      </c>
      <c r="C11" s="53">
        <f>SUM(C8:C10)</f>
        <v>187530</v>
      </c>
      <c r="F11" s="1">
        <f>C10/C7</f>
        <v>420</v>
      </c>
    </row>
    <row r="12" spans="1:12" ht="30.75" customHeight="1" x14ac:dyDescent="0.4">
      <c r="A12" s="10" t="s">
        <v>2</v>
      </c>
      <c r="B12" s="44">
        <v>1899</v>
      </c>
      <c r="C12" s="45">
        <v>3795</v>
      </c>
    </row>
    <row r="13" spans="1:12" ht="30.75" customHeight="1" x14ac:dyDescent="0.4">
      <c r="A13" s="51" t="s">
        <v>14</v>
      </c>
      <c r="B13" s="52">
        <f>+B12*B25</f>
        <v>2034455.67</v>
      </c>
      <c r="C13" s="53">
        <f>+C12*C25</f>
        <v>1593900</v>
      </c>
      <c r="F13" s="1">
        <f>B13/B12</f>
        <v>1071.33</v>
      </c>
      <c r="G13" s="1">
        <f>C13/C12</f>
        <v>420</v>
      </c>
    </row>
    <row r="14" spans="1:12" ht="30.75" customHeight="1" x14ac:dyDescent="0.4">
      <c r="A14" s="16" t="s">
        <v>3</v>
      </c>
      <c r="B14" s="29"/>
      <c r="C14" s="36"/>
    </row>
    <row r="15" spans="1:12" ht="30.75" customHeight="1" x14ac:dyDescent="0.4">
      <c r="A15" s="10" t="s">
        <v>19</v>
      </c>
      <c r="B15" s="29">
        <f>SUM(B16:B18)</f>
        <v>3543.1800000000003</v>
      </c>
      <c r="C15" s="36">
        <f>SUM(C16:C18)</f>
        <v>390</v>
      </c>
    </row>
    <row r="16" spans="1:12" ht="30.75" customHeight="1" x14ac:dyDescent="0.4">
      <c r="A16" s="10" t="s">
        <v>9</v>
      </c>
      <c r="B16" s="44">
        <v>1272.3</v>
      </c>
      <c r="C16" s="45"/>
    </row>
    <row r="17" spans="1:3" ht="30.75" customHeight="1" x14ac:dyDescent="0.4">
      <c r="A17" s="10" t="s">
        <v>10</v>
      </c>
      <c r="B17" s="44">
        <f>3543.18-1272.3</f>
        <v>2270.88</v>
      </c>
      <c r="C17" s="45">
        <v>390</v>
      </c>
    </row>
    <row r="18" spans="1:3" ht="30.75" customHeight="1" x14ac:dyDescent="0.4">
      <c r="A18" s="10" t="s">
        <v>1</v>
      </c>
      <c r="B18" s="44"/>
      <c r="C18" s="45"/>
    </row>
    <row r="19" spans="1:3" ht="30.75" customHeight="1" x14ac:dyDescent="0.4">
      <c r="A19" s="13" t="s">
        <v>12</v>
      </c>
      <c r="B19" s="30">
        <f>+B16*B25</f>
        <v>1363053.1589999998</v>
      </c>
      <c r="C19" s="37"/>
    </row>
    <row r="20" spans="1:3" ht="30.75" customHeight="1" x14ac:dyDescent="0.4">
      <c r="A20" s="13" t="s">
        <v>11</v>
      </c>
      <c r="B20" s="30">
        <f>+B17*(B25/100*75)</f>
        <v>1824646.4027999998</v>
      </c>
      <c r="C20" s="37"/>
    </row>
    <row r="21" spans="1:3" ht="30.75" customHeight="1" x14ac:dyDescent="0.4">
      <c r="A21" s="13" t="s">
        <v>13</v>
      </c>
      <c r="B21" s="30"/>
      <c r="C21" s="37">
        <f>+C15*C25</f>
        <v>163800</v>
      </c>
    </row>
    <row r="22" spans="1:3" ht="30.75" customHeight="1" x14ac:dyDescent="0.4">
      <c r="A22" s="51" t="s">
        <v>20</v>
      </c>
      <c r="B22" s="52">
        <f>SUM(B19:B21)</f>
        <v>3187699.5617999993</v>
      </c>
      <c r="C22" s="53">
        <f>SUM(C19:C21)</f>
        <v>163800</v>
      </c>
    </row>
    <row r="23" spans="1:3" ht="30.75" customHeight="1" x14ac:dyDescent="0.4">
      <c r="A23" s="16" t="s">
        <v>4</v>
      </c>
      <c r="B23" s="32">
        <f>+(B4+B12)-(B14+B15)</f>
        <v>1428.2499999999991</v>
      </c>
      <c r="C23" s="39">
        <f>+(C4+C12)-(C14+C15)</f>
        <v>3851.5</v>
      </c>
    </row>
    <row r="24" spans="1:3" ht="30.75" customHeight="1" x14ac:dyDescent="0.4">
      <c r="A24" s="51" t="s">
        <v>17</v>
      </c>
      <c r="B24" s="52">
        <f>+(B11+B13-B22)</f>
        <v>1903476.3132000007</v>
      </c>
      <c r="C24" s="53">
        <f>+(C11+C13-C22)</f>
        <v>1617630</v>
      </c>
    </row>
    <row r="25" spans="1:3" ht="30.75" customHeight="1" x14ac:dyDescent="0.4">
      <c r="A25" s="19" t="s">
        <v>5</v>
      </c>
      <c r="B25" s="44">
        <v>1071.33</v>
      </c>
      <c r="C25" s="45">
        <v>420</v>
      </c>
    </row>
    <row r="26" spans="1:3" ht="30.75" customHeight="1" thickBot="1" x14ac:dyDescent="0.45">
      <c r="A26" s="22" t="s">
        <v>8</v>
      </c>
      <c r="B26" s="33">
        <f>B24/$C$1</f>
        <v>15.218703633345811</v>
      </c>
      <c r="C26" s="40">
        <f>C24/$C$1</f>
        <v>12.933300712853429</v>
      </c>
    </row>
    <row r="27" spans="1:3" s="3" customFormat="1" ht="39.75" customHeight="1" thickBot="1" x14ac:dyDescent="0.3">
      <c r="A27" s="4" t="s">
        <v>7</v>
      </c>
      <c r="B27" s="34"/>
      <c r="C27" s="41">
        <f>+C26+B26</f>
        <v>28.152004346199242</v>
      </c>
    </row>
    <row r="30" spans="1:3" x14ac:dyDescent="0.4">
      <c r="C30" s="35">
        <f>C24+B24</f>
        <v>3521106.3132000007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1CC2-C705-4C94-AAF4-51501F99968B}">
  <sheetPr>
    <pageSetUpPr fitToPage="1"/>
  </sheetPr>
  <dimension ref="A1:L27"/>
  <sheetViews>
    <sheetView topLeftCell="A15" zoomScale="70" zoomScaleNormal="70" workbookViewId="0">
      <selection activeCell="C27" sqref="C27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9.85546875" style="1" customWidth="1"/>
    <col min="5" max="5" width="10" style="1" customWidth="1"/>
    <col min="6" max="6" width="23.28515625" style="1" bestFit="1" customWidth="1"/>
    <col min="7" max="9" width="9.140625" style="1"/>
    <col min="10" max="10" width="25.85546875" style="1" customWidth="1"/>
    <col min="11" max="11" width="23.85546875" style="1" customWidth="1"/>
    <col min="12" max="12" width="12.85546875" style="1" bestFit="1" customWidth="1"/>
    <col min="13" max="16384" width="9.140625" style="1"/>
  </cols>
  <sheetData>
    <row r="1" spans="1:12" ht="23.25" customHeight="1" x14ac:dyDescent="0.4">
      <c r="A1" s="96" t="s">
        <v>6</v>
      </c>
      <c r="B1" s="97"/>
      <c r="C1" s="100">
        <v>124297.7</v>
      </c>
    </row>
    <row r="2" spans="1:12" ht="23.25" customHeight="1" thickBot="1" x14ac:dyDescent="0.45">
      <c r="A2" s="98"/>
      <c r="B2" s="99"/>
      <c r="C2" s="101"/>
    </row>
    <row r="3" spans="1:12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12" ht="30.75" customHeight="1" x14ac:dyDescent="0.4">
      <c r="A4" s="6" t="s">
        <v>16</v>
      </c>
      <c r="B4" s="29">
        <f>SUM(B5:B7)</f>
        <v>3543.1800000000003</v>
      </c>
      <c r="C4" s="36">
        <f>SUM(C5:C7)</f>
        <v>390</v>
      </c>
    </row>
    <row r="5" spans="1:12" ht="30.75" customHeight="1" x14ac:dyDescent="0.4">
      <c r="A5" s="10" t="s">
        <v>9</v>
      </c>
      <c r="B5" s="44">
        <v>1272.3</v>
      </c>
      <c r="C5" s="45"/>
    </row>
    <row r="6" spans="1:12" ht="30.75" customHeight="1" x14ac:dyDescent="0.4">
      <c r="A6" s="10" t="s">
        <v>10</v>
      </c>
      <c r="B6" s="44">
        <v>2270.88</v>
      </c>
      <c r="C6" s="45"/>
      <c r="K6" s="35"/>
      <c r="L6" s="50"/>
    </row>
    <row r="7" spans="1:12" ht="30.75" customHeight="1" x14ac:dyDescent="0.4">
      <c r="A7" s="10" t="s">
        <v>1</v>
      </c>
      <c r="B7" s="44"/>
      <c r="C7" s="45">
        <v>390</v>
      </c>
      <c r="K7" s="50"/>
    </row>
    <row r="8" spans="1:12" ht="30.75" customHeight="1" x14ac:dyDescent="0.4">
      <c r="A8" s="13" t="s">
        <v>12</v>
      </c>
      <c r="B8" s="30">
        <v>1000221.6000000001</v>
      </c>
      <c r="C8" s="36"/>
      <c r="F8" s="50"/>
      <c r="K8" s="50"/>
    </row>
    <row r="9" spans="1:12" ht="30.75" customHeight="1" x14ac:dyDescent="0.4">
      <c r="A9" s="13" t="s">
        <v>11</v>
      </c>
      <c r="B9" s="30">
        <v>2056498.6049999995</v>
      </c>
      <c r="C9" s="37"/>
      <c r="F9" s="50"/>
    </row>
    <row r="10" spans="1:12" ht="30.75" customHeight="1" x14ac:dyDescent="0.4">
      <c r="A10" s="13" t="s">
        <v>13</v>
      </c>
      <c r="B10" s="30"/>
      <c r="C10" s="37">
        <f>+C4*C25</f>
        <v>165360</v>
      </c>
    </row>
    <row r="11" spans="1:12" ht="30.75" customHeight="1" x14ac:dyDescent="0.4">
      <c r="A11" s="51" t="s">
        <v>15</v>
      </c>
      <c r="B11" s="52">
        <f>SUM(B8:B10)</f>
        <v>3056720.2049999996</v>
      </c>
      <c r="C11" s="53">
        <f>SUM(C8:C10)</f>
        <v>165360</v>
      </c>
    </row>
    <row r="12" spans="1:12" ht="30.75" customHeight="1" x14ac:dyDescent="0.4">
      <c r="A12" s="10" t="s">
        <v>2</v>
      </c>
      <c r="B12" s="44">
        <v>1943</v>
      </c>
      <c r="C12" s="45">
        <v>3660</v>
      </c>
    </row>
    <row r="13" spans="1:12" ht="30.75" customHeight="1" x14ac:dyDescent="0.4">
      <c r="A13" s="51" t="s">
        <v>14</v>
      </c>
      <c r="B13" s="52">
        <f>+B12*B25</f>
        <v>2242222</v>
      </c>
      <c r="C13" s="53">
        <f>+C12*C25</f>
        <v>1551840</v>
      </c>
    </row>
    <row r="14" spans="1:12" ht="30.75" customHeight="1" x14ac:dyDescent="0.4">
      <c r="A14" s="16" t="s">
        <v>3</v>
      </c>
      <c r="B14" s="29"/>
      <c r="C14" s="36"/>
    </row>
    <row r="15" spans="1:12" ht="30.75" customHeight="1" x14ac:dyDescent="0.4">
      <c r="A15" s="10" t="s">
        <v>19</v>
      </c>
      <c r="B15" s="29">
        <f>SUM(B16:B18)</f>
        <v>3571</v>
      </c>
      <c r="C15" s="36">
        <f>SUM(C16:C18)</f>
        <v>492</v>
      </c>
    </row>
    <row r="16" spans="1:12" ht="30.75" customHeight="1" x14ac:dyDescent="0.4">
      <c r="A16" s="10" t="s">
        <v>9</v>
      </c>
      <c r="B16" s="44">
        <v>1176</v>
      </c>
      <c r="C16" s="45"/>
    </row>
    <row r="17" spans="1:3" ht="30.75" customHeight="1" x14ac:dyDescent="0.4">
      <c r="A17" s="10" t="s">
        <v>10</v>
      </c>
      <c r="B17" s="44">
        <v>2395</v>
      </c>
      <c r="C17" s="45"/>
    </row>
    <row r="18" spans="1:3" ht="30.75" customHeight="1" x14ac:dyDescent="0.4">
      <c r="A18" s="10" t="s">
        <v>1</v>
      </c>
      <c r="B18" s="44"/>
      <c r="C18" s="45">
        <v>492</v>
      </c>
    </row>
    <row r="19" spans="1:3" ht="30.75" customHeight="1" x14ac:dyDescent="0.4">
      <c r="A19" s="13" t="s">
        <v>12</v>
      </c>
      <c r="B19" s="30">
        <f>+B16*B25</f>
        <v>1357104</v>
      </c>
      <c r="C19" s="37"/>
    </row>
    <row r="20" spans="1:3" ht="30.75" customHeight="1" x14ac:dyDescent="0.4">
      <c r="A20" s="13" t="s">
        <v>11</v>
      </c>
      <c r="B20" s="30">
        <f>+B17*(B25/100*75)</f>
        <v>2072872.4999999998</v>
      </c>
      <c r="C20" s="37"/>
    </row>
    <row r="21" spans="1:3" ht="30.75" customHeight="1" x14ac:dyDescent="0.4">
      <c r="A21" s="13" t="s">
        <v>13</v>
      </c>
      <c r="B21" s="30"/>
      <c r="C21" s="37">
        <f>+C15*C25</f>
        <v>208608</v>
      </c>
    </row>
    <row r="22" spans="1:3" ht="30.75" customHeight="1" x14ac:dyDescent="0.4">
      <c r="A22" s="51" t="s">
        <v>20</v>
      </c>
      <c r="B22" s="52">
        <f>SUM(B19:B21)</f>
        <v>3429976.5</v>
      </c>
      <c r="C22" s="53">
        <f>SUM(C19:C21)</f>
        <v>208608</v>
      </c>
    </row>
    <row r="23" spans="1:3" ht="30.75" customHeight="1" x14ac:dyDescent="0.4">
      <c r="A23" s="16" t="s">
        <v>4</v>
      </c>
      <c r="B23" s="32">
        <f>+(B4+B12)-(B14+B15)</f>
        <v>1915.1800000000003</v>
      </c>
      <c r="C23" s="39">
        <f>+(C4+C12)-(C14+C15)</f>
        <v>3558</v>
      </c>
    </row>
    <row r="24" spans="1:3" ht="30.75" customHeight="1" x14ac:dyDescent="0.4">
      <c r="A24" s="51" t="s">
        <v>17</v>
      </c>
      <c r="B24" s="52">
        <f>+(B11+B13-B22)</f>
        <v>1868965.7050000001</v>
      </c>
      <c r="C24" s="53">
        <f>+(C11+C13-C22)</f>
        <v>1508592</v>
      </c>
    </row>
    <row r="25" spans="1:3" ht="30.75" customHeight="1" x14ac:dyDescent="0.4">
      <c r="A25" s="19" t="s">
        <v>5</v>
      </c>
      <c r="B25" s="44">
        <v>1154</v>
      </c>
      <c r="C25" s="45">
        <v>424</v>
      </c>
    </row>
    <row r="26" spans="1:3" ht="30.75" customHeight="1" thickBot="1" x14ac:dyDescent="0.45">
      <c r="A26" s="22" t="s">
        <v>8</v>
      </c>
      <c r="B26" s="33">
        <f>B24/$C$1</f>
        <v>15.036205054478081</v>
      </c>
      <c r="C26" s="40">
        <f>C24/$C$1</f>
        <v>12.136926105631883</v>
      </c>
    </row>
    <row r="27" spans="1:3" s="3" customFormat="1" ht="39.75" customHeight="1" thickBot="1" x14ac:dyDescent="0.3">
      <c r="A27" s="4" t="s">
        <v>7</v>
      </c>
      <c r="B27" s="34"/>
      <c r="C27" s="41">
        <f>+C26+B26</f>
        <v>27.173131160109964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C587-87A8-4AA0-B055-85EBB4555D7D}">
  <dimension ref="A1:AA12"/>
  <sheetViews>
    <sheetView workbookViewId="0">
      <selection activeCell="C27" sqref="C27"/>
    </sheetView>
  </sheetViews>
  <sheetFormatPr defaultRowHeight="15" x14ac:dyDescent="0.25"/>
  <cols>
    <col min="1" max="1" width="21.140625" bestFit="1" customWidth="1"/>
    <col min="2" max="2" width="9.7109375" bestFit="1" customWidth="1"/>
    <col min="3" max="4" width="6.7109375" bestFit="1" customWidth="1"/>
    <col min="5" max="5" width="10.28515625" bestFit="1" customWidth="1"/>
    <col min="6" max="6" width="1.42578125" customWidth="1"/>
    <col min="7" max="8" width="6.7109375" bestFit="1" customWidth="1"/>
    <col min="9" max="9" width="10.28515625" bestFit="1" customWidth="1"/>
    <col min="10" max="10" width="0.85546875" customWidth="1"/>
    <col min="11" max="11" width="5.140625" bestFit="1" customWidth="1"/>
    <col min="12" max="12" width="7.28515625" bestFit="1" customWidth="1"/>
    <col min="13" max="13" width="9.140625" bestFit="1" customWidth="1"/>
    <col min="14" max="14" width="1.28515625" customWidth="1"/>
    <col min="15" max="15" width="7.7109375" bestFit="1" customWidth="1"/>
    <col min="16" max="16" width="8.7109375" bestFit="1" customWidth="1"/>
    <col min="17" max="17" width="10.28515625" bestFit="1" customWidth="1"/>
    <col min="18" max="18" width="1.140625" customWidth="1"/>
    <col min="19" max="19" width="7.28515625" bestFit="1" customWidth="1"/>
    <col min="20" max="20" width="8.7109375" bestFit="1" customWidth="1"/>
    <col min="21" max="21" width="10.28515625" bestFit="1" customWidth="1"/>
    <col min="22" max="22" width="1.28515625" customWidth="1"/>
    <col min="23" max="23" width="6.7109375" bestFit="1" customWidth="1"/>
    <col min="24" max="24" width="8.7109375" bestFit="1" customWidth="1"/>
    <col min="25" max="25" width="11.28515625" bestFit="1" customWidth="1"/>
    <col min="26" max="26" width="11.5703125" bestFit="1" customWidth="1"/>
  </cols>
  <sheetData>
    <row r="1" spans="1:27" ht="18.75" x14ac:dyDescent="0.3">
      <c r="A1" s="54" t="s">
        <v>35</v>
      </c>
      <c r="B1" s="55"/>
      <c r="C1" s="56"/>
      <c r="D1" s="56"/>
      <c r="E1" s="56"/>
      <c r="F1" s="55"/>
      <c r="G1" s="55"/>
      <c r="H1" s="56"/>
      <c r="I1" s="55"/>
      <c r="J1" s="55"/>
      <c r="K1" s="55"/>
      <c r="L1" s="56"/>
      <c r="M1" s="55"/>
      <c r="N1" s="55"/>
      <c r="O1" s="55"/>
      <c r="P1" s="56"/>
      <c r="Q1" s="55"/>
      <c r="R1" s="55"/>
      <c r="S1" s="55"/>
      <c r="T1" s="56"/>
      <c r="U1" s="55"/>
      <c r="V1" s="55"/>
      <c r="W1" s="56"/>
      <c r="X1" s="56"/>
      <c r="Y1" s="55"/>
    </row>
    <row r="2" spans="1:27" x14ac:dyDescent="0.25">
      <c r="A2" s="57"/>
      <c r="B2" s="57"/>
      <c r="C2" s="104" t="s">
        <v>36</v>
      </c>
      <c r="D2" s="104"/>
      <c r="E2" s="104"/>
      <c r="F2" s="57"/>
      <c r="G2" s="104" t="s">
        <v>37</v>
      </c>
      <c r="H2" s="104"/>
      <c r="I2" s="104"/>
      <c r="J2" s="57"/>
      <c r="K2" s="104" t="s">
        <v>3</v>
      </c>
      <c r="L2" s="104"/>
      <c r="M2" s="104"/>
      <c r="N2" s="57"/>
      <c r="O2" s="104" t="s">
        <v>38</v>
      </c>
      <c r="P2" s="104"/>
      <c r="Q2" s="104"/>
      <c r="R2" s="57"/>
      <c r="S2" s="104" t="s">
        <v>39</v>
      </c>
      <c r="T2" s="104"/>
      <c r="U2" s="104"/>
      <c r="V2" s="57"/>
      <c r="W2" s="104" t="s">
        <v>40</v>
      </c>
      <c r="X2" s="104"/>
      <c r="Y2" s="104"/>
    </row>
    <row r="3" spans="1:27" x14ac:dyDescent="0.25">
      <c r="A3" s="58" t="s">
        <v>41</v>
      </c>
      <c r="B3" s="58" t="s">
        <v>42</v>
      </c>
      <c r="C3" s="59" t="s">
        <v>43</v>
      </c>
      <c r="D3" s="59" t="s">
        <v>44</v>
      </c>
      <c r="E3" s="59" t="s">
        <v>45</v>
      </c>
      <c r="F3" s="58"/>
      <c r="G3" s="60" t="s">
        <v>43</v>
      </c>
      <c r="H3" s="60" t="s">
        <v>44</v>
      </c>
      <c r="I3" s="59" t="s">
        <v>45</v>
      </c>
      <c r="J3" s="61"/>
      <c r="K3" s="60" t="s">
        <v>43</v>
      </c>
      <c r="L3" s="60" t="s">
        <v>44</v>
      </c>
      <c r="M3" s="59" t="s">
        <v>45</v>
      </c>
      <c r="N3" s="61"/>
      <c r="O3" s="60" t="s">
        <v>43</v>
      </c>
      <c r="P3" s="60" t="s">
        <v>44</v>
      </c>
      <c r="Q3" s="59" t="s">
        <v>45</v>
      </c>
      <c r="R3" s="61"/>
      <c r="S3" s="60" t="s">
        <v>43</v>
      </c>
      <c r="T3" s="60" t="s">
        <v>44</v>
      </c>
      <c r="U3" s="59" t="s">
        <v>45</v>
      </c>
      <c r="V3" s="60"/>
      <c r="W3" s="60" t="s">
        <v>43</v>
      </c>
      <c r="X3" s="60" t="s">
        <v>44</v>
      </c>
      <c r="Y3" s="59" t="s">
        <v>45</v>
      </c>
      <c r="AA3">
        <v>124297.69500000001</v>
      </c>
    </row>
    <row r="4" spans="1:27" x14ac:dyDescent="0.25">
      <c r="A4" s="57">
        <v>1</v>
      </c>
      <c r="B4" s="57" t="s">
        <v>46</v>
      </c>
      <c r="C4" s="62">
        <v>1272.3</v>
      </c>
      <c r="D4" s="63">
        <v>1218</v>
      </c>
      <c r="E4" s="63">
        <f>C4*D4</f>
        <v>1549661.4</v>
      </c>
      <c r="F4" s="57"/>
      <c r="G4" s="62">
        <v>1943</v>
      </c>
      <c r="H4" s="62">
        <v>1153.99</v>
      </c>
      <c r="I4" s="62">
        <f>G4*H4</f>
        <v>2242202.5699999998</v>
      </c>
      <c r="J4" s="64"/>
      <c r="K4" s="62">
        <v>0</v>
      </c>
      <c r="L4" s="62">
        <v>0</v>
      </c>
      <c r="M4" s="62">
        <f>K4*L4</f>
        <v>0</v>
      </c>
      <c r="N4" s="62"/>
      <c r="O4" s="65">
        <f>C4+G4-K4</f>
        <v>3215.3</v>
      </c>
      <c r="P4" s="65">
        <f>Q4/O4</f>
        <v>1179.3188722669734</v>
      </c>
      <c r="Q4" s="65">
        <f>E4+I4-M4</f>
        <v>3791863.9699999997</v>
      </c>
      <c r="R4" s="62"/>
      <c r="S4" s="62">
        <v>1176.2</v>
      </c>
      <c r="T4" s="62">
        <f>P4</f>
        <v>1179.3188722669734</v>
      </c>
      <c r="U4" s="62">
        <f>S4*T4</f>
        <v>1387114.8575604141</v>
      </c>
      <c r="V4" s="64"/>
      <c r="W4" s="66">
        <f>O4-S4</f>
        <v>2039.1000000000001</v>
      </c>
      <c r="X4" s="67">
        <f>P4</f>
        <v>1179.3188722669734</v>
      </c>
      <c r="Y4" s="66">
        <f>W4*X4</f>
        <v>2404749.1124395854</v>
      </c>
      <c r="Z4" s="68">
        <f>+Y4+Y5</f>
        <v>2291365.4924395853</v>
      </c>
      <c r="AA4" s="49">
        <f>+Z4/AA3</f>
        <v>18.434497055151226</v>
      </c>
    </row>
    <row r="5" spans="1:27" x14ac:dyDescent="0.25">
      <c r="A5" s="57">
        <v>2</v>
      </c>
      <c r="B5" s="57" t="s">
        <v>47</v>
      </c>
      <c r="C5" s="69">
        <v>2270.88</v>
      </c>
      <c r="D5" s="63">
        <v>913.5</v>
      </c>
      <c r="E5" s="63">
        <f>C5*D5</f>
        <v>2074448.8800000001</v>
      </c>
      <c r="F5" s="57"/>
      <c r="G5" s="69">
        <v>0</v>
      </c>
      <c r="H5" s="62">
        <v>0</v>
      </c>
      <c r="I5" s="69">
        <f>G5*H5</f>
        <v>0</v>
      </c>
      <c r="J5" s="64"/>
      <c r="K5" s="69">
        <v>0</v>
      </c>
      <c r="L5" s="69">
        <v>0</v>
      </c>
      <c r="M5" s="69">
        <f>K5*L5</f>
        <v>0</v>
      </c>
      <c r="N5" s="69"/>
      <c r="O5" s="70">
        <f>C5+G5-K5</f>
        <v>2270.88</v>
      </c>
      <c r="P5" s="70">
        <f>Q5/O5</f>
        <v>913.5</v>
      </c>
      <c r="Q5" s="70">
        <f>E5+I5-M5</f>
        <v>2074448.8800000001</v>
      </c>
      <c r="R5" s="69"/>
      <c r="S5" s="69">
        <v>2395</v>
      </c>
      <c r="T5" s="62">
        <f>P5</f>
        <v>913.5</v>
      </c>
      <c r="U5" s="69">
        <f>S5*T5</f>
        <v>2187832.5</v>
      </c>
      <c r="V5" s="64"/>
      <c r="W5" s="67">
        <f>O5-S5</f>
        <v>-124.11999999999989</v>
      </c>
      <c r="X5" s="67">
        <f>P5</f>
        <v>913.5</v>
      </c>
      <c r="Y5" s="67">
        <f>W5*X5</f>
        <v>-113383.61999999989</v>
      </c>
      <c r="Z5" s="68"/>
    </row>
    <row r="6" spans="1:27" x14ac:dyDescent="0.25">
      <c r="A6" s="57">
        <v>3</v>
      </c>
      <c r="B6" s="57" t="s">
        <v>1</v>
      </c>
      <c r="C6" s="69">
        <v>390</v>
      </c>
      <c r="D6" s="63">
        <v>420</v>
      </c>
      <c r="E6" s="63">
        <f>C6*D6</f>
        <v>163800</v>
      </c>
      <c r="F6" s="57"/>
      <c r="G6" s="69">
        <v>3660</v>
      </c>
      <c r="H6" s="69">
        <v>423.64</v>
      </c>
      <c r="I6" s="69">
        <f>G6*H6</f>
        <v>1550522.4</v>
      </c>
      <c r="J6" s="64"/>
      <c r="K6" s="69">
        <v>0</v>
      </c>
      <c r="L6" s="69">
        <v>0</v>
      </c>
      <c r="M6" s="69">
        <f>K6*L6</f>
        <v>0</v>
      </c>
      <c r="N6" s="69"/>
      <c r="O6" s="70">
        <f>C6+G6-K6</f>
        <v>4050</v>
      </c>
      <c r="P6" s="70">
        <f>Q6/O6</f>
        <v>423.28948148148146</v>
      </c>
      <c r="Q6" s="70">
        <f>E6+I6-M6</f>
        <v>1714322.4</v>
      </c>
      <c r="R6" s="69"/>
      <c r="S6" s="69">
        <v>492</v>
      </c>
      <c r="T6" s="69">
        <f>P6</f>
        <v>423.28948148148146</v>
      </c>
      <c r="U6" s="69">
        <f>S6*T6</f>
        <v>208258.42488888887</v>
      </c>
      <c r="V6" s="64"/>
      <c r="W6" s="67">
        <f>O6-S6</f>
        <v>3558</v>
      </c>
      <c r="X6" s="67">
        <f>P6</f>
        <v>423.28948148148146</v>
      </c>
      <c r="Y6" s="67">
        <f>W6*X6</f>
        <v>1506063.9751111111</v>
      </c>
      <c r="Z6" s="68">
        <f>+Y6</f>
        <v>1506063.9751111111</v>
      </c>
      <c r="AA6" s="49">
        <f>+Z6/AA3</f>
        <v>12.116588124269811</v>
      </c>
    </row>
    <row r="7" spans="1:27" ht="15.75" thickBot="1" x14ac:dyDescent="0.3">
      <c r="A7" s="57"/>
      <c r="B7" s="57"/>
      <c r="C7" s="71">
        <f>SUM(C4:C6)</f>
        <v>3933.1800000000003</v>
      </c>
      <c r="D7" s="71">
        <f>E7/C7</f>
        <v>963.06558052263051</v>
      </c>
      <c r="E7" s="71">
        <f>SUM(E4:E6)</f>
        <v>3787910.2800000003</v>
      </c>
      <c r="F7" s="58"/>
      <c r="G7" s="71">
        <f>SUM(G4:G6)</f>
        <v>5603</v>
      </c>
      <c r="H7" s="71">
        <f>I7/G7</f>
        <v>676.90968588256283</v>
      </c>
      <c r="I7" s="71">
        <f>SUM(I4:I6)</f>
        <v>3792724.9699999997</v>
      </c>
      <c r="J7" s="61"/>
      <c r="K7" s="71">
        <f>SUM(K4:K6)</f>
        <v>0</v>
      </c>
      <c r="L7" s="72" t="str">
        <f>IFERROR(M7/K7,"-")</f>
        <v>-</v>
      </c>
      <c r="M7" s="71">
        <f>SUM(M4:M6)</f>
        <v>0</v>
      </c>
      <c r="N7" s="71"/>
      <c r="O7" s="73">
        <f>SUM(O4:O6)</f>
        <v>9536.18</v>
      </c>
      <c r="P7" s="73">
        <f>SUM(P4:P6)</f>
        <v>2516.1083537484546</v>
      </c>
      <c r="Q7" s="73">
        <f>SUM(Q4:Q6)</f>
        <v>7580635.25</v>
      </c>
      <c r="R7" s="71"/>
      <c r="S7" s="71">
        <f>SUM(S4:S6)</f>
        <v>4063.2</v>
      </c>
      <c r="T7" s="71">
        <f>SUM(T4:T6)</f>
        <v>2516.1083537484546</v>
      </c>
      <c r="U7" s="71">
        <f>SUM(U4:U6)</f>
        <v>3783205.7824493027</v>
      </c>
      <c r="V7" s="61"/>
      <c r="W7" s="71">
        <f>SUM(W4:W6)</f>
        <v>5472.9800000000005</v>
      </c>
      <c r="X7" s="71">
        <f>Y7/W7</f>
        <v>693.85041925070004</v>
      </c>
      <c r="Y7" s="71">
        <f>SUM(Y4:Y6)</f>
        <v>3797429.4675506963</v>
      </c>
      <c r="AA7" s="49">
        <f>SUM(AA4:AA6)</f>
        <v>30.551085179421037</v>
      </c>
    </row>
    <row r="10" spans="1:27" x14ac:dyDescent="0.25">
      <c r="U10" s="74"/>
      <c r="W10" s="68"/>
      <c r="X10" s="74"/>
      <c r="Y10" s="68"/>
    </row>
    <row r="11" spans="1:27" x14ac:dyDescent="0.25">
      <c r="H11" s="68"/>
      <c r="U11" s="74"/>
    </row>
    <row r="12" spans="1:27" x14ac:dyDescent="0.25">
      <c r="H12" s="68"/>
    </row>
  </sheetData>
  <mergeCells count="6">
    <mergeCell ref="W2:Y2"/>
    <mergeCell ref="C2:E2"/>
    <mergeCell ref="G2:I2"/>
    <mergeCell ref="K2:M2"/>
    <mergeCell ref="O2:Q2"/>
    <mergeCell ref="S2:U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6E0A-5856-4CE9-96E1-51F13E02F712}">
  <dimension ref="A1:AA12"/>
  <sheetViews>
    <sheetView topLeftCell="E1" workbookViewId="0">
      <selection activeCell="C27" sqref="C27"/>
    </sheetView>
  </sheetViews>
  <sheetFormatPr defaultRowHeight="15" x14ac:dyDescent="0.25"/>
  <cols>
    <col min="1" max="1" width="21.140625" bestFit="1" customWidth="1"/>
    <col min="2" max="2" width="9.7109375" bestFit="1" customWidth="1"/>
    <col min="3" max="4" width="6.7109375" bestFit="1" customWidth="1"/>
    <col min="5" max="5" width="10.28515625" bestFit="1" customWidth="1"/>
    <col min="6" max="6" width="1.42578125" customWidth="1"/>
    <col min="7" max="8" width="6.7109375" bestFit="1" customWidth="1"/>
    <col min="9" max="9" width="10.28515625" bestFit="1" customWidth="1"/>
    <col min="10" max="10" width="0.85546875" customWidth="1"/>
    <col min="11" max="11" width="5.140625" bestFit="1" customWidth="1"/>
    <col min="12" max="12" width="7.28515625" bestFit="1" customWidth="1"/>
    <col min="13" max="13" width="9.140625" bestFit="1" customWidth="1"/>
    <col min="14" max="14" width="1.28515625" customWidth="1"/>
    <col min="15" max="15" width="7.7109375" bestFit="1" customWidth="1"/>
    <col min="16" max="16" width="8.7109375" bestFit="1" customWidth="1"/>
    <col min="17" max="17" width="10.28515625" bestFit="1" customWidth="1"/>
    <col min="18" max="18" width="1.140625" customWidth="1"/>
    <col min="19" max="19" width="7.28515625" bestFit="1" customWidth="1"/>
    <col min="20" max="20" width="8.7109375" bestFit="1" customWidth="1"/>
    <col min="21" max="21" width="10.28515625" bestFit="1" customWidth="1"/>
    <col min="22" max="22" width="1.28515625" customWidth="1"/>
    <col min="23" max="23" width="7" bestFit="1" customWidth="1"/>
    <col min="24" max="24" width="8.7109375" bestFit="1" customWidth="1"/>
    <col min="25" max="25" width="11.28515625" bestFit="1" customWidth="1"/>
    <col min="26" max="26" width="11.5703125" bestFit="1" customWidth="1"/>
  </cols>
  <sheetData>
    <row r="1" spans="1:27" ht="18.75" x14ac:dyDescent="0.3">
      <c r="A1" s="54" t="s">
        <v>35</v>
      </c>
      <c r="B1" s="55"/>
      <c r="C1" s="56"/>
      <c r="D1" s="56"/>
      <c r="E1" s="56"/>
      <c r="F1" s="55"/>
      <c r="G1" s="55"/>
      <c r="H1" s="56"/>
      <c r="I1" s="55"/>
      <c r="J1" s="55"/>
      <c r="K1" s="55"/>
      <c r="L1" s="56"/>
      <c r="M1" s="55"/>
      <c r="N1" s="55"/>
      <c r="O1" s="55"/>
      <c r="P1" s="56"/>
      <c r="Q1" s="55"/>
      <c r="R1" s="55"/>
      <c r="S1" s="55"/>
      <c r="T1" s="56"/>
      <c r="U1" s="55"/>
      <c r="V1" s="55"/>
      <c r="W1" s="56"/>
      <c r="X1" s="56"/>
      <c r="Y1" s="55"/>
    </row>
    <row r="2" spans="1:27" x14ac:dyDescent="0.25">
      <c r="A2" s="57"/>
      <c r="B2" s="57"/>
      <c r="C2" s="104" t="s">
        <v>36</v>
      </c>
      <c r="D2" s="104"/>
      <c r="E2" s="104"/>
      <c r="F2" s="57"/>
      <c r="G2" s="104" t="s">
        <v>37</v>
      </c>
      <c r="H2" s="104"/>
      <c r="I2" s="104"/>
      <c r="J2" s="57"/>
      <c r="K2" s="104" t="s">
        <v>3</v>
      </c>
      <c r="L2" s="104"/>
      <c r="M2" s="104"/>
      <c r="N2" s="57"/>
      <c r="O2" s="104" t="s">
        <v>38</v>
      </c>
      <c r="P2" s="104"/>
      <c r="Q2" s="104"/>
      <c r="R2" s="57"/>
      <c r="S2" s="104" t="s">
        <v>39</v>
      </c>
      <c r="T2" s="104"/>
      <c r="U2" s="104"/>
      <c r="V2" s="57"/>
      <c r="W2" s="104" t="s">
        <v>40</v>
      </c>
      <c r="X2" s="104"/>
      <c r="Y2" s="104"/>
    </row>
    <row r="3" spans="1:27" x14ac:dyDescent="0.25">
      <c r="A3" s="58" t="s">
        <v>41</v>
      </c>
      <c r="B3" s="58" t="s">
        <v>42</v>
      </c>
      <c r="C3" s="59" t="s">
        <v>43</v>
      </c>
      <c r="D3" s="59" t="s">
        <v>44</v>
      </c>
      <c r="E3" s="59" t="s">
        <v>45</v>
      </c>
      <c r="F3" s="58"/>
      <c r="G3" s="60" t="s">
        <v>43</v>
      </c>
      <c r="H3" s="60" t="s">
        <v>44</v>
      </c>
      <c r="I3" s="59" t="s">
        <v>45</v>
      </c>
      <c r="J3" s="61"/>
      <c r="K3" s="60" t="s">
        <v>43</v>
      </c>
      <c r="L3" s="60" t="s">
        <v>44</v>
      </c>
      <c r="M3" s="59" t="s">
        <v>45</v>
      </c>
      <c r="N3" s="61"/>
      <c r="O3" s="60" t="s">
        <v>43</v>
      </c>
      <c r="P3" s="60" t="s">
        <v>44</v>
      </c>
      <c r="Q3" s="59" t="s">
        <v>45</v>
      </c>
      <c r="R3" s="61"/>
      <c r="S3" s="60" t="s">
        <v>43</v>
      </c>
      <c r="T3" s="60" t="s">
        <v>44</v>
      </c>
      <c r="U3" s="59" t="s">
        <v>45</v>
      </c>
      <c r="V3" s="60"/>
      <c r="W3" s="60" t="s">
        <v>43</v>
      </c>
      <c r="X3" s="60" t="s">
        <v>44</v>
      </c>
      <c r="Y3" s="59" t="s">
        <v>45</v>
      </c>
      <c r="AA3">
        <v>151478.96799999999</v>
      </c>
    </row>
    <row r="4" spans="1:27" x14ac:dyDescent="0.25">
      <c r="A4" s="57">
        <v>1</v>
      </c>
      <c r="B4" s="57" t="s">
        <v>46</v>
      </c>
      <c r="C4" s="62">
        <v>1176.2</v>
      </c>
      <c r="D4" s="63">
        <v>1179.3188722669734</v>
      </c>
      <c r="E4" s="63">
        <f>C4*D4</f>
        <v>1387114.8575604141</v>
      </c>
      <c r="F4" s="57"/>
      <c r="G4" s="62">
        <v>2155.5</v>
      </c>
      <c r="H4" s="62">
        <v>1082.3610000000001</v>
      </c>
      <c r="I4" s="62">
        <f>G4*H4</f>
        <v>2333029.1355000003</v>
      </c>
      <c r="J4" s="64"/>
      <c r="K4" s="62">
        <v>0</v>
      </c>
      <c r="L4" s="62">
        <v>0</v>
      </c>
      <c r="M4" s="62">
        <f>K4*L4</f>
        <v>0</v>
      </c>
      <c r="N4" s="62"/>
      <c r="O4" s="65">
        <f>C4+G4-K4</f>
        <v>3331.7</v>
      </c>
      <c r="P4" s="65">
        <f>Q4/O4</f>
        <v>1116.5903271784418</v>
      </c>
      <c r="Q4" s="65">
        <f>E4+I4-M4</f>
        <v>3720143.9930604147</v>
      </c>
      <c r="R4" s="62"/>
      <c r="S4" s="62">
        <v>1481.5</v>
      </c>
      <c r="T4" s="62">
        <f>P4</f>
        <v>1116.5903271784418</v>
      </c>
      <c r="U4" s="62">
        <f>S4*T4</f>
        <v>1654228.5697148617</v>
      </c>
      <c r="V4" s="64"/>
      <c r="W4" s="66">
        <f>O4-S4</f>
        <v>1850.1999999999998</v>
      </c>
      <c r="X4" s="67">
        <f>P4</f>
        <v>1116.5903271784418</v>
      </c>
      <c r="Y4" s="66">
        <f>W4*X4</f>
        <v>2065915.423345553</v>
      </c>
      <c r="Z4" s="68">
        <f>+Y4+Y5</f>
        <v>2319320.3233455531</v>
      </c>
      <c r="AA4" s="49">
        <f>+Z4/AA3</f>
        <v>15.311170613108173</v>
      </c>
    </row>
    <row r="5" spans="1:27" x14ac:dyDescent="0.25">
      <c r="A5" s="57">
        <v>2</v>
      </c>
      <c r="B5" s="57" t="s">
        <v>47</v>
      </c>
      <c r="C5" s="69">
        <v>2395</v>
      </c>
      <c r="D5" s="63">
        <v>913.5</v>
      </c>
      <c r="E5" s="63">
        <f>C5*D5</f>
        <v>2187832.5</v>
      </c>
      <c r="F5" s="57"/>
      <c r="G5" s="69"/>
      <c r="H5" s="62"/>
      <c r="I5" s="69">
        <f>G5*H5</f>
        <v>0</v>
      </c>
      <c r="J5" s="64"/>
      <c r="K5" s="69">
        <v>0</v>
      </c>
      <c r="L5" s="69">
        <v>0</v>
      </c>
      <c r="M5" s="69">
        <f>K5*L5</f>
        <v>0</v>
      </c>
      <c r="N5" s="69"/>
      <c r="O5" s="70">
        <f>C5+G5-K5</f>
        <v>2395</v>
      </c>
      <c r="P5" s="70">
        <f>Q5/O5</f>
        <v>913.5</v>
      </c>
      <c r="Q5" s="70">
        <f>E5+I5-M5</f>
        <v>2187832.5</v>
      </c>
      <c r="R5" s="69"/>
      <c r="S5" s="62">
        <v>2117.6</v>
      </c>
      <c r="T5" s="62">
        <f>P5</f>
        <v>913.5</v>
      </c>
      <c r="U5" s="69">
        <f>S5*T5</f>
        <v>1934427.5999999999</v>
      </c>
      <c r="V5" s="64"/>
      <c r="W5" s="67">
        <f>O5-S5</f>
        <v>277.40000000000009</v>
      </c>
      <c r="X5" s="67">
        <f>P5</f>
        <v>913.5</v>
      </c>
      <c r="Y5" s="67">
        <f>W5*X5</f>
        <v>253404.90000000008</v>
      </c>
      <c r="Z5" s="68"/>
    </row>
    <row r="6" spans="1:27" x14ac:dyDescent="0.25">
      <c r="A6" s="57">
        <v>3</v>
      </c>
      <c r="B6" s="57" t="s">
        <v>1</v>
      </c>
      <c r="C6" s="69">
        <v>492</v>
      </c>
      <c r="D6" s="63">
        <v>423.28948148148146</v>
      </c>
      <c r="E6" s="63">
        <f>C6*D6</f>
        <v>208258.42488888887</v>
      </c>
      <c r="F6" s="57"/>
      <c r="G6" s="69">
        <v>3960</v>
      </c>
      <c r="H6" s="69">
        <v>420</v>
      </c>
      <c r="I6" s="69">
        <f>G6*H6</f>
        <v>1663200</v>
      </c>
      <c r="J6" s="64"/>
      <c r="K6" s="69">
        <v>0</v>
      </c>
      <c r="L6" s="69">
        <v>0</v>
      </c>
      <c r="M6" s="69">
        <f>K6*L6</f>
        <v>0</v>
      </c>
      <c r="N6" s="69"/>
      <c r="O6" s="70">
        <f>C6+G6-K6</f>
        <v>4452</v>
      </c>
      <c r="P6" s="70">
        <f>Q6/O6</f>
        <v>420.36352760307477</v>
      </c>
      <c r="Q6" s="70">
        <f>E6+I6-M6</f>
        <v>1871458.4248888888</v>
      </c>
      <c r="R6" s="69"/>
      <c r="S6" s="69">
        <v>901.6</v>
      </c>
      <c r="T6" s="69">
        <f>P6</f>
        <v>420.36352760307477</v>
      </c>
      <c r="U6" s="69">
        <f>S6*T6</f>
        <v>378999.75648693222</v>
      </c>
      <c r="V6" s="64"/>
      <c r="W6" s="67">
        <f>O6-S6</f>
        <v>3550.4</v>
      </c>
      <c r="X6" s="67">
        <f>P6</f>
        <v>420.36352760307477</v>
      </c>
      <c r="Y6" s="67">
        <f>W6*X6</f>
        <v>1492458.6684019568</v>
      </c>
      <c r="Z6" s="68">
        <f>+Y6</f>
        <v>1492458.6684019568</v>
      </c>
      <c r="AA6" s="49">
        <f>+Z6/AA3</f>
        <v>9.8525801179339751</v>
      </c>
    </row>
    <row r="7" spans="1:27" ht="15.75" thickBot="1" x14ac:dyDescent="0.3">
      <c r="A7" s="57"/>
      <c r="B7" s="57"/>
      <c r="C7" s="71">
        <f>SUM(C4:C6)</f>
        <v>4063.2</v>
      </c>
      <c r="D7" s="71">
        <f>E7/C7</f>
        <v>931.09022013420531</v>
      </c>
      <c r="E7" s="71">
        <f>SUM(E4:E6)</f>
        <v>3783205.7824493027</v>
      </c>
      <c r="F7" s="58"/>
      <c r="G7" s="71">
        <f>SUM(G4:G6)</f>
        <v>6115.5</v>
      </c>
      <c r="H7" s="71">
        <f>I7/G7</f>
        <v>653.45910154525393</v>
      </c>
      <c r="I7" s="71">
        <f>SUM(I4:I6)</f>
        <v>3996229.1355000003</v>
      </c>
      <c r="J7" s="61"/>
      <c r="K7" s="71">
        <f>SUM(K4:K6)</f>
        <v>0</v>
      </c>
      <c r="L7" s="72" t="str">
        <f>IFERROR(M7/K7,"-")</f>
        <v>-</v>
      </c>
      <c r="M7" s="71">
        <f>SUM(M4:M6)</f>
        <v>0</v>
      </c>
      <c r="N7" s="71"/>
      <c r="O7" s="73">
        <f>SUM(O4:O6)</f>
        <v>10178.700000000001</v>
      </c>
      <c r="P7" s="73">
        <f>SUM(P4:P6)</f>
        <v>2450.4538547815164</v>
      </c>
      <c r="Q7" s="73">
        <f>SUM(Q4:Q6)</f>
        <v>7779434.917949304</v>
      </c>
      <c r="R7" s="71"/>
      <c r="S7" s="71">
        <f>SUM(S4:S6)</f>
        <v>4500.7</v>
      </c>
      <c r="T7" s="71">
        <f>SUM(T4:T6)</f>
        <v>2450.4538547815164</v>
      </c>
      <c r="U7" s="71">
        <f>SUM(U4:U6)</f>
        <v>3967655.9262017938</v>
      </c>
      <c r="V7" s="61"/>
      <c r="W7" s="71">
        <f>SUM(W4:W6)</f>
        <v>5678</v>
      </c>
      <c r="X7" s="71">
        <f>Y7/W7</f>
        <v>671.32423243175583</v>
      </c>
      <c r="Y7" s="71">
        <f>SUM(Y4:Y6)</f>
        <v>3811778.9917475097</v>
      </c>
      <c r="AA7" s="49">
        <f>SUM(AA4:AA6)</f>
        <v>25.16375073104215</v>
      </c>
    </row>
    <row r="10" spans="1:27" x14ac:dyDescent="0.25">
      <c r="U10" s="74"/>
      <c r="W10" s="68"/>
      <c r="X10" s="74"/>
      <c r="Y10" s="68"/>
    </row>
    <row r="11" spans="1:27" x14ac:dyDescent="0.25">
      <c r="H11" s="68"/>
      <c r="U11" s="74"/>
      <c r="W11" s="68">
        <f>+W4+W5</f>
        <v>2127.6</v>
      </c>
      <c r="X11">
        <v>1597.1735908573282</v>
      </c>
      <c r="Y11" s="68">
        <f>+W11-X11</f>
        <v>530.42640914267167</v>
      </c>
    </row>
    <row r="12" spans="1:27" x14ac:dyDescent="0.25">
      <c r="H12" s="68"/>
      <c r="W12" s="68">
        <f>+W6</f>
        <v>3550.4</v>
      </c>
      <c r="X12">
        <v>4180.1832618010621</v>
      </c>
      <c r="Y12" s="68">
        <f>+W12-X12</f>
        <v>-629.78326180106205</v>
      </c>
    </row>
  </sheetData>
  <mergeCells count="6">
    <mergeCell ref="W2:Y2"/>
    <mergeCell ref="C2:E2"/>
    <mergeCell ref="G2:I2"/>
    <mergeCell ref="K2:M2"/>
    <mergeCell ref="O2:Q2"/>
    <mergeCell ref="S2:U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8D448-A2A2-40AF-B960-E69965CF52C1}">
  <dimension ref="A1:AA12"/>
  <sheetViews>
    <sheetView topLeftCell="G1" workbookViewId="0">
      <selection activeCell="C27" sqref="C27"/>
    </sheetView>
  </sheetViews>
  <sheetFormatPr defaultRowHeight="15" x14ac:dyDescent="0.25"/>
  <cols>
    <col min="1" max="1" width="21.140625" bestFit="1" customWidth="1"/>
    <col min="2" max="2" width="9.7109375" bestFit="1" customWidth="1"/>
    <col min="3" max="4" width="6.7109375" bestFit="1" customWidth="1"/>
    <col min="5" max="5" width="10.28515625" bestFit="1" customWidth="1"/>
    <col min="6" max="6" width="1.42578125" customWidth="1"/>
    <col min="7" max="7" width="9.5703125" bestFit="1" customWidth="1"/>
    <col min="8" max="8" width="7.28515625" bestFit="1" customWidth="1"/>
    <col min="9" max="9" width="10.28515625" bestFit="1" customWidth="1"/>
    <col min="10" max="10" width="0.85546875" customWidth="1"/>
    <col min="11" max="11" width="5.140625" bestFit="1" customWidth="1"/>
    <col min="12" max="12" width="7.28515625" bestFit="1" customWidth="1"/>
    <col min="13" max="13" width="9.140625" bestFit="1" customWidth="1"/>
    <col min="14" max="14" width="1.28515625" customWidth="1"/>
    <col min="15" max="15" width="7.7109375" bestFit="1" customWidth="1"/>
    <col min="16" max="16" width="8.7109375" bestFit="1" customWidth="1"/>
    <col min="17" max="17" width="10.28515625" bestFit="1" customWidth="1"/>
    <col min="18" max="18" width="1.140625" customWidth="1"/>
    <col min="19" max="19" width="7.28515625" bestFit="1" customWidth="1"/>
    <col min="20" max="20" width="8.7109375" bestFit="1" customWidth="1"/>
    <col min="21" max="21" width="10.28515625" bestFit="1" customWidth="1"/>
    <col min="22" max="22" width="1.28515625" customWidth="1"/>
    <col min="23" max="23" width="7.28515625" bestFit="1" customWidth="1"/>
    <col min="24" max="24" width="8.7109375" bestFit="1" customWidth="1"/>
    <col min="25" max="25" width="11.28515625" bestFit="1" customWidth="1"/>
    <col min="26" max="26" width="11.5703125" bestFit="1" customWidth="1"/>
  </cols>
  <sheetData>
    <row r="1" spans="1:27" ht="18.75" x14ac:dyDescent="0.3">
      <c r="A1" s="54" t="s">
        <v>35</v>
      </c>
      <c r="B1" s="55"/>
      <c r="C1" s="56"/>
      <c r="D1" s="56"/>
      <c r="E1" s="56"/>
      <c r="F1" s="55"/>
      <c r="G1" s="55"/>
      <c r="H1" s="56"/>
      <c r="I1" s="55"/>
      <c r="J1" s="55"/>
      <c r="K1" s="55"/>
      <c r="L1" s="56"/>
      <c r="M1" s="55"/>
      <c r="N1" s="55"/>
      <c r="O1" s="55"/>
      <c r="P1" s="56"/>
      <c r="Q1" s="55"/>
      <c r="R1" s="55"/>
      <c r="S1" s="55"/>
      <c r="T1" s="56"/>
      <c r="U1" s="55"/>
      <c r="V1" s="55"/>
      <c r="W1" s="56"/>
      <c r="X1" s="56"/>
      <c r="Y1" s="55"/>
    </row>
    <row r="2" spans="1:27" x14ac:dyDescent="0.25">
      <c r="A2" s="57"/>
      <c r="B2" s="57"/>
      <c r="C2" s="104" t="s">
        <v>36</v>
      </c>
      <c r="D2" s="104"/>
      <c r="E2" s="104"/>
      <c r="F2" s="57"/>
      <c r="G2" s="104" t="s">
        <v>37</v>
      </c>
      <c r="H2" s="104"/>
      <c r="I2" s="104"/>
      <c r="J2" s="57"/>
      <c r="K2" s="104" t="s">
        <v>3</v>
      </c>
      <c r="L2" s="104"/>
      <c r="M2" s="104"/>
      <c r="N2" s="57"/>
      <c r="O2" s="104" t="s">
        <v>38</v>
      </c>
      <c r="P2" s="104"/>
      <c r="Q2" s="104"/>
      <c r="R2" s="57"/>
      <c r="S2" s="104" t="s">
        <v>39</v>
      </c>
      <c r="T2" s="104"/>
      <c r="U2" s="104"/>
      <c r="V2" s="57"/>
      <c r="W2" s="104" t="s">
        <v>40</v>
      </c>
      <c r="X2" s="104"/>
      <c r="Y2" s="104"/>
    </row>
    <row r="3" spans="1:27" x14ac:dyDescent="0.25">
      <c r="A3" s="58" t="s">
        <v>41</v>
      </c>
      <c r="B3" s="58" t="s">
        <v>42</v>
      </c>
      <c r="C3" s="59" t="s">
        <v>43</v>
      </c>
      <c r="D3" s="59" t="s">
        <v>44</v>
      </c>
      <c r="E3" s="59" t="s">
        <v>45</v>
      </c>
      <c r="F3" s="58"/>
      <c r="G3" s="60" t="s">
        <v>43</v>
      </c>
      <c r="H3" s="60" t="s">
        <v>44</v>
      </c>
      <c r="I3" s="59" t="s">
        <v>45</v>
      </c>
      <c r="J3" s="61"/>
      <c r="K3" s="60" t="s">
        <v>43</v>
      </c>
      <c r="L3" s="60" t="s">
        <v>44</v>
      </c>
      <c r="M3" s="59" t="s">
        <v>45</v>
      </c>
      <c r="N3" s="61"/>
      <c r="O3" s="60" t="s">
        <v>43</v>
      </c>
      <c r="P3" s="60" t="s">
        <v>44</v>
      </c>
      <c r="Q3" s="59" t="s">
        <v>45</v>
      </c>
      <c r="R3" s="61"/>
      <c r="S3" s="60" t="s">
        <v>43</v>
      </c>
      <c r="T3" s="60" t="s">
        <v>44</v>
      </c>
      <c r="U3" s="59" t="s">
        <v>45</v>
      </c>
      <c r="V3" s="60"/>
      <c r="W3" s="60" t="s">
        <v>43</v>
      </c>
      <c r="X3" s="60" t="s">
        <v>44</v>
      </c>
      <c r="Y3" s="59" t="s">
        <v>45</v>
      </c>
      <c r="AA3">
        <v>153227.85999999999</v>
      </c>
    </row>
    <row r="4" spans="1:27" x14ac:dyDescent="0.25">
      <c r="A4" s="57">
        <v>1</v>
      </c>
      <c r="B4" s="57" t="s">
        <v>46</v>
      </c>
      <c r="C4" s="62">
        <v>1481.5</v>
      </c>
      <c r="D4" s="63">
        <v>1116.5903271784418</v>
      </c>
      <c r="E4" s="63">
        <v>1654228.5697148617</v>
      </c>
      <c r="F4" s="57"/>
      <c r="G4" s="62">
        <v>1680</v>
      </c>
      <c r="H4" s="62">
        <v>1075</v>
      </c>
      <c r="I4" s="63">
        <f>G4*H4</f>
        <v>1806000</v>
      </c>
      <c r="J4" s="64"/>
      <c r="K4" s="62">
        <v>0</v>
      </c>
      <c r="L4" s="62">
        <v>0</v>
      </c>
      <c r="M4" s="62">
        <f>K4*L4</f>
        <v>0</v>
      </c>
      <c r="N4" s="62"/>
      <c r="O4" s="65">
        <f>C4+G4-K4</f>
        <v>3161.5</v>
      </c>
      <c r="P4" s="65">
        <f>Q4/O4</f>
        <v>1094.4895048916217</v>
      </c>
      <c r="Q4" s="65">
        <f>E4+I4-M4</f>
        <v>3460228.5697148619</v>
      </c>
      <c r="R4" s="62"/>
      <c r="S4" s="62">
        <v>793</v>
      </c>
      <c r="T4" s="62">
        <v>1075.8</v>
      </c>
      <c r="U4" s="63">
        <f>S4*T4</f>
        <v>853109.39999999991</v>
      </c>
      <c r="V4" s="64"/>
      <c r="W4" s="66">
        <f>O4-S4</f>
        <v>2368.5</v>
      </c>
      <c r="X4" s="67">
        <f>P4</f>
        <v>1094.4895048916217</v>
      </c>
      <c r="Y4" s="66">
        <f>W4*X4</f>
        <v>2592298.392335806</v>
      </c>
      <c r="Z4" s="68">
        <f>+Y4+Y5</f>
        <v>2450340.4923358061</v>
      </c>
      <c r="AA4" s="49">
        <f>+Z4/AA3</f>
        <v>15.99148152519918</v>
      </c>
    </row>
    <row r="5" spans="1:27" x14ac:dyDescent="0.25">
      <c r="A5" s="57">
        <v>2</v>
      </c>
      <c r="B5" s="57" t="s">
        <v>47</v>
      </c>
      <c r="C5" s="69">
        <v>2117.6</v>
      </c>
      <c r="D5" s="63">
        <v>913.5</v>
      </c>
      <c r="E5" s="63">
        <v>1934427.5999999999</v>
      </c>
      <c r="F5" s="57"/>
      <c r="G5" s="62"/>
      <c r="H5" s="62"/>
      <c r="I5" s="63">
        <f t="shared" ref="I5:I6" si="0">G5*H5</f>
        <v>0</v>
      </c>
      <c r="J5" s="64"/>
      <c r="K5" s="69">
        <v>0</v>
      </c>
      <c r="L5" s="69">
        <v>0</v>
      </c>
      <c r="M5" s="69">
        <f>K5*L5</f>
        <v>0</v>
      </c>
      <c r="N5" s="69"/>
      <c r="O5" s="70">
        <f>C5+G5-K5</f>
        <v>2117.6</v>
      </c>
      <c r="P5" s="70">
        <f>Q5/O5</f>
        <v>913.5</v>
      </c>
      <c r="Q5" s="70">
        <f>E5+I5-M5</f>
        <v>1934427.5999999999</v>
      </c>
      <c r="R5" s="69"/>
      <c r="S5" s="62">
        <v>2273</v>
      </c>
      <c r="T5" s="62">
        <v>913.5</v>
      </c>
      <c r="U5" s="63">
        <f>S5*T5</f>
        <v>2076385.5</v>
      </c>
      <c r="V5" s="64"/>
      <c r="W5" s="67">
        <f>O5-S5</f>
        <v>-155.40000000000009</v>
      </c>
      <c r="X5" s="67">
        <f>P5</f>
        <v>913.5</v>
      </c>
      <c r="Y5" s="67">
        <f>W5*X5</f>
        <v>-141957.90000000008</v>
      </c>
      <c r="Z5" s="68"/>
    </row>
    <row r="6" spans="1:27" x14ac:dyDescent="0.25">
      <c r="A6" s="57">
        <v>3</v>
      </c>
      <c r="B6" s="57" t="s">
        <v>1</v>
      </c>
      <c r="C6" s="69">
        <v>901.6</v>
      </c>
      <c r="D6" s="63">
        <v>420.36352760307477</v>
      </c>
      <c r="E6" s="63">
        <v>378999.75648693222</v>
      </c>
      <c r="F6" s="57"/>
      <c r="G6" s="62">
        <v>3630</v>
      </c>
      <c r="H6" s="62">
        <v>375</v>
      </c>
      <c r="I6" s="63">
        <f t="shared" si="0"/>
        <v>1361250</v>
      </c>
      <c r="J6" s="64"/>
      <c r="K6" s="69">
        <v>0</v>
      </c>
      <c r="L6" s="69">
        <v>0</v>
      </c>
      <c r="M6" s="69">
        <f>K6*L6</f>
        <v>0</v>
      </c>
      <c r="N6" s="69"/>
      <c r="O6" s="70">
        <f>C6+G6-K6</f>
        <v>4531.6000000000004</v>
      </c>
      <c r="P6" s="70">
        <f>Q6/O6</f>
        <v>384.0254560170651</v>
      </c>
      <c r="Q6" s="70">
        <f>E6+I6-M6</f>
        <v>1740249.7564869323</v>
      </c>
      <c r="R6" s="69"/>
      <c r="S6" s="62">
        <v>582</v>
      </c>
      <c r="T6" s="62">
        <v>547</v>
      </c>
      <c r="U6" s="63">
        <f>S6*T6</f>
        <v>318354</v>
      </c>
      <c r="V6" s="64"/>
      <c r="W6" s="67">
        <f>O6-S6</f>
        <v>3949.6000000000004</v>
      </c>
      <c r="X6" s="67">
        <f>P6</f>
        <v>384.0254560170651</v>
      </c>
      <c r="Y6" s="67">
        <f>W6*X6</f>
        <v>1516746.9410850005</v>
      </c>
      <c r="Z6" s="68">
        <f>+Y6</f>
        <v>1516746.9410850005</v>
      </c>
      <c r="AA6" s="49">
        <f>+Z6/AA3</f>
        <v>9.8986368476659568</v>
      </c>
    </row>
    <row r="7" spans="1:27" ht="15.75" thickBot="1" x14ac:dyDescent="0.3">
      <c r="A7" s="57"/>
      <c r="B7" s="57"/>
      <c r="C7" s="71">
        <f>SUM(C4:C6)</f>
        <v>4500.7</v>
      </c>
      <c r="D7" s="71">
        <f>E7/C7</f>
        <v>881.56418472721884</v>
      </c>
      <c r="E7" s="71">
        <f>SUM(E4:E6)</f>
        <v>3967655.9262017938</v>
      </c>
      <c r="F7" s="58"/>
      <c r="G7" s="71">
        <f>SUM(G4:G6)</f>
        <v>5310</v>
      </c>
      <c r="H7" s="71">
        <v>375</v>
      </c>
      <c r="I7" s="71">
        <f>SUM(I4:I6)</f>
        <v>3167250</v>
      </c>
      <c r="J7" s="61"/>
      <c r="K7" s="71">
        <f>SUM(K4:K6)</f>
        <v>0</v>
      </c>
      <c r="L7" s="72" t="str">
        <f>IFERROR(M7/K7,"-")</f>
        <v>-</v>
      </c>
      <c r="M7" s="71">
        <f>SUM(M4:M6)</f>
        <v>0</v>
      </c>
      <c r="N7" s="71"/>
      <c r="O7" s="73">
        <f>SUM(O4:O6)</f>
        <v>9810.7000000000007</v>
      </c>
      <c r="P7" s="73">
        <f>SUM(P4:P6)</f>
        <v>2392.0149609086866</v>
      </c>
      <c r="Q7" s="73">
        <f>SUM(Q4:Q6)</f>
        <v>7134905.9262017943</v>
      </c>
      <c r="R7" s="71"/>
      <c r="S7" s="71">
        <f>SUM(S4:S6)</f>
        <v>3648</v>
      </c>
      <c r="T7" s="71">
        <f>SUM(T4:T6)</f>
        <v>2536.3000000000002</v>
      </c>
      <c r="U7" s="71">
        <f>SUM(U4:U6)</f>
        <v>3247848.9</v>
      </c>
      <c r="V7" s="61"/>
      <c r="W7" s="71">
        <f>SUM(W4:W6)</f>
        <v>6162.7000000000007</v>
      </c>
      <c r="X7" s="71">
        <f>Y7/W7</f>
        <v>643.72554779898519</v>
      </c>
      <c r="Y7" s="71">
        <f>SUM(Y4:Y6)</f>
        <v>3967087.4334208067</v>
      </c>
      <c r="AA7" s="49">
        <f>SUM(AA4:AA6)</f>
        <v>25.890118372865139</v>
      </c>
    </row>
    <row r="9" spans="1:27" x14ac:dyDescent="0.25">
      <c r="G9" s="64"/>
    </row>
    <row r="10" spans="1:27" x14ac:dyDescent="0.25">
      <c r="G10" s="64"/>
      <c r="U10" s="74"/>
      <c r="W10" s="68"/>
      <c r="X10" s="74"/>
      <c r="Y10" s="68"/>
    </row>
    <row r="11" spans="1:27" x14ac:dyDescent="0.25">
      <c r="G11" s="64"/>
      <c r="H11" s="68"/>
      <c r="U11" s="74"/>
      <c r="W11" s="68">
        <f>+W4+W5</f>
        <v>2213.1</v>
      </c>
      <c r="X11">
        <v>1597.1735908573282</v>
      </c>
      <c r="Y11" s="68">
        <f>+W11-X11</f>
        <v>615.92640914267167</v>
      </c>
    </row>
    <row r="12" spans="1:27" x14ac:dyDescent="0.25">
      <c r="H12" s="68"/>
      <c r="W12" s="68">
        <f>+W6</f>
        <v>3949.6000000000004</v>
      </c>
      <c r="X12">
        <v>4180.1832618010621</v>
      </c>
      <c r="Y12" s="68">
        <f>+W12-X12</f>
        <v>-230.58326180106178</v>
      </c>
    </row>
  </sheetData>
  <mergeCells count="6">
    <mergeCell ref="W2:Y2"/>
    <mergeCell ref="C2:E2"/>
    <mergeCell ref="G2:I2"/>
    <mergeCell ref="K2:M2"/>
    <mergeCell ref="O2:Q2"/>
    <mergeCell ref="S2:U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2962-25F5-4BCE-BEF8-3F220BC68DF3}">
  <sheetPr codeName="Sheet7"/>
  <dimension ref="B1:F11"/>
  <sheetViews>
    <sheetView workbookViewId="0">
      <selection activeCell="G16" sqref="G16"/>
    </sheetView>
  </sheetViews>
  <sheetFormatPr defaultRowHeight="15" x14ac:dyDescent="0.25"/>
  <cols>
    <col min="2" max="2" width="10.28515625" bestFit="1" customWidth="1"/>
    <col min="3" max="3" width="11.5703125" bestFit="1" customWidth="1"/>
    <col min="5" max="5" width="12.85546875" bestFit="1" customWidth="1"/>
    <col min="6" max="6" width="7" bestFit="1" customWidth="1"/>
  </cols>
  <sheetData>
    <row r="1" spans="2:6" ht="27" customHeight="1" x14ac:dyDescent="0.25">
      <c r="B1" s="46" t="s">
        <v>30</v>
      </c>
      <c r="C1" s="46" t="s">
        <v>6</v>
      </c>
      <c r="D1" s="46" t="s">
        <v>23</v>
      </c>
      <c r="E1" s="46" t="s">
        <v>22</v>
      </c>
      <c r="F1" s="46" t="s">
        <v>21</v>
      </c>
    </row>
    <row r="2" spans="2:6" x14ac:dyDescent="0.25">
      <c r="B2" s="47" t="s">
        <v>24</v>
      </c>
      <c r="C2" s="48">
        <f>+JANUARY!C1</f>
        <v>133131.82999999999</v>
      </c>
      <c r="D2" s="48">
        <f>+JANUARY!B26</f>
        <v>16.299449706167188</v>
      </c>
      <c r="E2" s="48">
        <f>+JANUARY!C26</f>
        <v>12.381336604476932</v>
      </c>
      <c r="F2" s="48">
        <f>+E2+D2</f>
        <v>28.68078631064412</v>
      </c>
    </row>
    <row r="3" spans="2:6" x14ac:dyDescent="0.25">
      <c r="B3" s="47" t="s">
        <v>25</v>
      </c>
      <c r="C3" s="48">
        <f>+FEBRUARY!C1</f>
        <v>123190.06</v>
      </c>
      <c r="D3" s="48">
        <f>+FEBRUARY!B26</f>
        <v>16.726237713497341</v>
      </c>
      <c r="E3" s="48">
        <f>+FEBRUARY!C26</f>
        <v>10.878147149209932</v>
      </c>
      <c r="F3" s="48">
        <f t="shared" ref="F3:F11" si="0">+E3+D3</f>
        <v>27.604384862707271</v>
      </c>
    </row>
    <row r="4" spans="2:6" x14ac:dyDescent="0.25">
      <c r="B4" s="47" t="s">
        <v>26</v>
      </c>
      <c r="C4" s="48">
        <f>+MARCH!C1</f>
        <v>147332.01999999999</v>
      </c>
      <c r="D4" s="48">
        <f>+MARCH!B26</f>
        <v>19.949665659915613</v>
      </c>
      <c r="E4" s="48">
        <f>+MARCH!C26</f>
        <v>15.056068599344529</v>
      </c>
      <c r="F4" s="48">
        <f t="shared" si="0"/>
        <v>35.005734259260144</v>
      </c>
    </row>
    <row r="5" spans="2:6" x14ac:dyDescent="0.25">
      <c r="B5" s="47" t="s">
        <v>27</v>
      </c>
      <c r="C5" s="48">
        <f>+APRIL!C1</f>
        <v>87462.68</v>
      </c>
      <c r="D5" s="48">
        <f>+APRIL!B26</f>
        <v>13.480594294618006</v>
      </c>
      <c r="E5" s="48">
        <f>+APRIL!C26</f>
        <v>23.944221695470578</v>
      </c>
      <c r="F5" s="48">
        <f t="shared" si="0"/>
        <v>37.424815990088582</v>
      </c>
    </row>
    <row r="6" spans="2:6" x14ac:dyDescent="0.25">
      <c r="B6" s="47" t="s">
        <v>28</v>
      </c>
      <c r="C6" s="48">
        <f>+MAY!C1</f>
        <v>222812</v>
      </c>
      <c r="D6" s="48">
        <f>+MAY!B26</f>
        <v>5.6054873382044059</v>
      </c>
      <c r="E6" s="48">
        <f>+MAY!C26</f>
        <v>7.1988043731935445</v>
      </c>
      <c r="F6" s="48">
        <f t="shared" si="0"/>
        <v>12.804291711397951</v>
      </c>
    </row>
    <row r="7" spans="2:6" x14ac:dyDescent="0.25">
      <c r="B7" s="47" t="s">
        <v>29</v>
      </c>
      <c r="C7" s="48">
        <f>+JUNE!C1</f>
        <v>136837.31</v>
      </c>
      <c r="D7" s="48">
        <f>+JUNE!B26</f>
        <v>17.334510229702705</v>
      </c>
      <c r="E7" s="48">
        <f>+JUNE!C26</f>
        <v>11.907498035440772</v>
      </c>
      <c r="F7" s="48">
        <f t="shared" si="0"/>
        <v>29.242008265143475</v>
      </c>
    </row>
    <row r="8" spans="2:6" x14ac:dyDescent="0.25">
      <c r="B8" s="47" t="s">
        <v>31</v>
      </c>
      <c r="C8" s="49">
        <f>+July!C1</f>
        <v>125074.8</v>
      </c>
      <c r="D8" s="49">
        <f>+July!B26</f>
        <v>15.218703633345811</v>
      </c>
      <c r="E8" s="49">
        <f>+July!C26</f>
        <v>12.933300712853429</v>
      </c>
      <c r="F8" s="48">
        <f t="shared" si="0"/>
        <v>28.152004346199242</v>
      </c>
    </row>
    <row r="9" spans="2:6" x14ac:dyDescent="0.25">
      <c r="B9" s="47" t="s">
        <v>32</v>
      </c>
      <c r="C9">
        <f>+'Aug Sohail sab'!AA3</f>
        <v>124297.69500000001</v>
      </c>
      <c r="D9" s="49">
        <f>+'Aug Sohail sab'!AA4</f>
        <v>18.434497055151226</v>
      </c>
      <c r="E9" s="49">
        <f>+'Aug Sohail sab'!AA6</f>
        <v>12.116588124269811</v>
      </c>
      <c r="F9" s="48">
        <f t="shared" si="0"/>
        <v>30.551085179421037</v>
      </c>
    </row>
    <row r="10" spans="2:6" x14ac:dyDescent="0.25">
      <c r="B10" s="47" t="s">
        <v>33</v>
      </c>
      <c r="C10">
        <f>+'Sep Sohail sb'!AA3</f>
        <v>151478.96799999999</v>
      </c>
      <c r="D10" s="49">
        <f>+'Sep Sohail sb'!AA4</f>
        <v>15.311170613108173</v>
      </c>
      <c r="E10" s="49">
        <f>+'Sep Sohail sb'!AA6</f>
        <v>9.8525801179339751</v>
      </c>
      <c r="F10" s="48">
        <f t="shared" si="0"/>
        <v>25.16375073104215</v>
      </c>
    </row>
    <row r="11" spans="2:6" x14ac:dyDescent="0.25">
      <c r="B11" s="47" t="s">
        <v>34</v>
      </c>
      <c r="C11">
        <f>+'Oct Sohail sb'!AA3</f>
        <v>153227.85999999999</v>
      </c>
      <c r="D11" s="49">
        <f>+'Oct Sohail sb'!AA4</f>
        <v>15.99148152519918</v>
      </c>
      <c r="E11" s="49">
        <f>+'Oct Sohail sb'!AA6</f>
        <v>9.8986368476659568</v>
      </c>
      <c r="F11" s="48">
        <f t="shared" si="0"/>
        <v>25.890118372865139</v>
      </c>
    </row>
  </sheetData>
  <phoneticPr fontId="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E2E8-B5D4-488A-A619-51AA933D47A8}">
  <sheetPr>
    <pageSetUpPr fitToPage="1"/>
  </sheetPr>
  <dimension ref="A1:L30"/>
  <sheetViews>
    <sheetView zoomScale="70" zoomScaleNormal="70" workbookViewId="0">
      <selection activeCell="C1" sqref="C1:C2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23.28515625" style="1" bestFit="1" customWidth="1"/>
    <col min="5" max="5" width="10" style="1" customWidth="1"/>
    <col min="6" max="6" width="23.28515625" style="1" bestFit="1" customWidth="1"/>
    <col min="7" max="9" width="9.140625" style="1"/>
    <col min="10" max="10" width="25.85546875" style="1" customWidth="1"/>
    <col min="11" max="11" width="23.85546875" style="1" customWidth="1"/>
    <col min="12" max="12" width="12.85546875" style="1" bestFit="1" customWidth="1"/>
    <col min="13" max="16384" width="9.140625" style="1"/>
  </cols>
  <sheetData>
    <row r="1" spans="1:12" ht="23.25" customHeight="1" x14ac:dyDescent="0.4">
      <c r="A1" s="96" t="s">
        <v>6</v>
      </c>
      <c r="B1" s="97"/>
      <c r="C1" s="100">
        <v>167818</v>
      </c>
    </row>
    <row r="2" spans="1:12" ht="23.25" customHeight="1" thickBot="1" x14ac:dyDescent="0.45">
      <c r="A2" s="98"/>
      <c r="B2" s="99"/>
      <c r="C2" s="101"/>
    </row>
    <row r="3" spans="1:12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12" ht="30.75" customHeight="1" x14ac:dyDescent="0.4">
      <c r="A4" s="6" t="s">
        <v>16</v>
      </c>
      <c r="B4" s="29">
        <f>SUM(B5:B7)</f>
        <v>4711.63</v>
      </c>
      <c r="C4" s="36">
        <f>SUM(C5:C7)</f>
        <v>350.5</v>
      </c>
    </row>
    <row r="5" spans="1:12" ht="30.75" customHeight="1" x14ac:dyDescent="0.4">
      <c r="A5" s="10" t="s">
        <v>9</v>
      </c>
      <c r="B5" s="44">
        <v>930.2</v>
      </c>
      <c r="C5" s="45"/>
    </row>
    <row r="6" spans="1:12" ht="30.75" customHeight="1" x14ac:dyDescent="0.4">
      <c r="A6" s="10" t="s">
        <v>10</v>
      </c>
      <c r="B6" s="44">
        <v>3781.43</v>
      </c>
      <c r="C6" s="45"/>
      <c r="K6" s="35"/>
      <c r="L6" s="50"/>
    </row>
    <row r="7" spans="1:12" ht="30.75" customHeight="1" x14ac:dyDescent="0.4">
      <c r="A7" s="10" t="s">
        <v>1</v>
      </c>
      <c r="B7" s="44"/>
      <c r="C7" s="45">
        <v>350.5</v>
      </c>
      <c r="K7" s="50"/>
    </row>
    <row r="8" spans="1:12" ht="30.75" customHeight="1" x14ac:dyDescent="0.4">
      <c r="A8" s="13" t="s">
        <v>12</v>
      </c>
      <c r="B8" s="30">
        <f>+B5*B25</f>
        <v>1019601.522</v>
      </c>
      <c r="C8" s="36"/>
      <c r="F8" s="50"/>
      <c r="K8" s="50"/>
    </row>
    <row r="9" spans="1:12" ht="30.75" customHeight="1" x14ac:dyDescent="0.4">
      <c r="A9" s="13" t="s">
        <v>11</v>
      </c>
      <c r="B9" s="30">
        <f>+B6*(B25/100*75)</f>
        <v>3108647.4279749994</v>
      </c>
      <c r="C9" s="37"/>
      <c r="F9" s="50"/>
    </row>
    <row r="10" spans="1:12" ht="30.75" customHeight="1" x14ac:dyDescent="0.4">
      <c r="A10" s="13" t="s">
        <v>13</v>
      </c>
      <c r="B10" s="30"/>
      <c r="C10" s="37">
        <f>+C4*C25</f>
        <v>128633.5</v>
      </c>
    </row>
    <row r="11" spans="1:12" ht="30.75" customHeight="1" x14ac:dyDescent="0.4">
      <c r="A11" s="51" t="s">
        <v>15</v>
      </c>
      <c r="B11" s="52">
        <f>SUM(B8:B10)</f>
        <v>4128248.9499749993</v>
      </c>
      <c r="C11" s="53">
        <f>SUM(C8:C10)</f>
        <v>128633.5</v>
      </c>
    </row>
    <row r="12" spans="1:12" ht="30.75" customHeight="1" x14ac:dyDescent="0.4">
      <c r="A12" s="10" t="s">
        <v>2</v>
      </c>
      <c r="B12" s="44">
        <v>1940</v>
      </c>
      <c r="C12" s="45">
        <v>4445</v>
      </c>
    </row>
    <row r="13" spans="1:12" ht="30.75" customHeight="1" x14ac:dyDescent="0.4">
      <c r="A13" s="51" t="s">
        <v>14</v>
      </c>
      <c r="B13" s="52">
        <f>+B12*B25</f>
        <v>2126453.4</v>
      </c>
      <c r="C13" s="53">
        <f>+C12*C25</f>
        <v>1631315</v>
      </c>
    </row>
    <row r="14" spans="1:12" ht="30.75" customHeight="1" x14ac:dyDescent="0.4">
      <c r="A14" s="16" t="s">
        <v>3</v>
      </c>
      <c r="B14" s="29"/>
      <c r="C14" s="36"/>
    </row>
    <row r="15" spans="1:12" ht="30.75" customHeight="1" x14ac:dyDescent="0.4">
      <c r="A15" s="10" t="s">
        <v>19</v>
      </c>
      <c r="B15" s="29">
        <f>SUM(B16:B18)</f>
        <v>4480.7</v>
      </c>
      <c r="C15" s="36">
        <f>SUM(C16:C18)</f>
        <v>1003.6</v>
      </c>
      <c r="D15" s="50"/>
    </row>
    <row r="16" spans="1:12" ht="30.75" customHeight="1" x14ac:dyDescent="0.4">
      <c r="A16" s="10" t="s">
        <v>9</v>
      </c>
      <c r="B16" s="44">
        <v>882.6</v>
      </c>
      <c r="C16" s="45">
        <v>1003.6</v>
      </c>
    </row>
    <row r="17" spans="1:4" ht="30.75" customHeight="1" x14ac:dyDescent="0.4">
      <c r="A17" s="10" t="s">
        <v>10</v>
      </c>
      <c r="B17" s="44">
        <f>4480.7-882.6</f>
        <v>3598.1</v>
      </c>
      <c r="C17" s="45"/>
      <c r="D17" s="50"/>
    </row>
    <row r="18" spans="1:4" ht="30.75" customHeight="1" x14ac:dyDescent="0.4">
      <c r="A18" s="10" t="s">
        <v>1</v>
      </c>
      <c r="B18" s="44"/>
      <c r="C18" s="45"/>
      <c r="D18" s="50"/>
    </row>
    <row r="19" spans="1:4" ht="30.75" customHeight="1" x14ac:dyDescent="0.4">
      <c r="A19" s="13" t="s">
        <v>12</v>
      </c>
      <c r="B19" s="30">
        <f>+B16*B25</f>
        <v>967426.68599999999</v>
      </c>
      <c r="C19" s="37"/>
    </row>
    <row r="20" spans="1:4" ht="30.75" customHeight="1" x14ac:dyDescent="0.4">
      <c r="A20" s="13" t="s">
        <v>11</v>
      </c>
      <c r="B20" s="30">
        <f>+B17*(B25/100*75)</f>
        <v>2957935.0432499996</v>
      </c>
      <c r="C20" s="37"/>
    </row>
    <row r="21" spans="1:4" ht="30.75" customHeight="1" x14ac:dyDescent="0.4">
      <c r="A21" s="13" t="s">
        <v>13</v>
      </c>
      <c r="B21" s="30"/>
      <c r="C21" s="37">
        <f>+C15*C25</f>
        <v>368321.2</v>
      </c>
      <c r="D21" s="50"/>
    </row>
    <row r="22" spans="1:4" ht="30.75" customHeight="1" x14ac:dyDescent="0.4">
      <c r="A22" s="51" t="s">
        <v>20</v>
      </c>
      <c r="B22" s="52">
        <f>SUM(B19:B21)</f>
        <v>3925361.7292499999</v>
      </c>
      <c r="C22" s="53">
        <f>SUM(C19:C21)</f>
        <v>368321.2</v>
      </c>
    </row>
    <row r="23" spans="1:4" ht="30.75" customHeight="1" x14ac:dyDescent="0.4">
      <c r="A23" s="16" t="s">
        <v>4</v>
      </c>
      <c r="B23" s="32">
        <f>+(B4+B12)-(B14+B15)</f>
        <v>2170.9300000000003</v>
      </c>
      <c r="C23" s="39">
        <f>+(C4+C12)-(C14+C15)</f>
        <v>3791.9</v>
      </c>
    </row>
    <row r="24" spans="1:4" ht="30.75" customHeight="1" x14ac:dyDescent="0.4">
      <c r="A24" s="51" t="s">
        <v>17</v>
      </c>
      <c r="B24" s="52">
        <f>+(B11+B13-B22)</f>
        <v>2329340.6207249993</v>
      </c>
      <c r="C24" s="53">
        <f>+(C11+C13-C22)</f>
        <v>1391627.3</v>
      </c>
    </row>
    <row r="25" spans="1:4" ht="30.75" customHeight="1" x14ac:dyDescent="0.4">
      <c r="A25" s="19" t="s">
        <v>5</v>
      </c>
      <c r="B25" s="44">
        <v>1096.1099999999999</v>
      </c>
      <c r="C25" s="45">
        <v>367</v>
      </c>
    </row>
    <row r="26" spans="1:4" ht="30.75" customHeight="1" thickBot="1" x14ac:dyDescent="0.45">
      <c r="A26" s="22" t="s">
        <v>8</v>
      </c>
      <c r="B26" s="33">
        <f>B24/$C$1</f>
        <v>13.880159581957832</v>
      </c>
      <c r="C26" s="40">
        <f>C24/$C$1</f>
        <v>8.292479352632018</v>
      </c>
    </row>
    <row r="27" spans="1:4" s="3" customFormat="1" ht="39.75" customHeight="1" thickBot="1" x14ac:dyDescent="0.3">
      <c r="A27" s="4" t="s">
        <v>7</v>
      </c>
      <c r="B27" s="34"/>
      <c r="C27" s="41">
        <f>+C26+B26</f>
        <v>22.172638934589848</v>
      </c>
    </row>
    <row r="30" spans="1:4" x14ac:dyDescent="0.4">
      <c r="C30" s="35">
        <f>C24+B24</f>
        <v>3720967.9207249992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3B76-713E-459F-9E09-5E07BDC8B6C6}">
  <sheetPr>
    <pageSetUpPr fitToPage="1"/>
  </sheetPr>
  <dimension ref="A1:L30"/>
  <sheetViews>
    <sheetView zoomScale="70" zoomScaleNormal="70" workbookViewId="0">
      <selection activeCell="D27" sqref="D27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23.28515625" style="1" bestFit="1" customWidth="1"/>
    <col min="5" max="5" width="10" style="1" customWidth="1"/>
    <col min="6" max="6" width="23.28515625" style="1" bestFit="1" customWidth="1"/>
    <col min="7" max="9" width="9.140625" style="1"/>
    <col min="10" max="10" width="25.85546875" style="1" customWidth="1"/>
    <col min="11" max="11" width="23.85546875" style="1" customWidth="1"/>
    <col min="12" max="12" width="12.85546875" style="1" bestFit="1" customWidth="1"/>
    <col min="13" max="16384" width="9.140625" style="1"/>
  </cols>
  <sheetData>
    <row r="1" spans="1:12" ht="23.25" customHeight="1" x14ac:dyDescent="0.4">
      <c r="A1" s="96" t="s">
        <v>6</v>
      </c>
      <c r="B1" s="97"/>
      <c r="C1" s="100">
        <v>119659.46</v>
      </c>
    </row>
    <row r="2" spans="1:12" ht="23.25" customHeight="1" thickBot="1" x14ac:dyDescent="0.45">
      <c r="A2" s="98"/>
      <c r="B2" s="99"/>
      <c r="C2" s="101"/>
    </row>
    <row r="3" spans="1:12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12" ht="30.75" customHeight="1" thickBot="1" x14ac:dyDescent="0.45">
      <c r="A4" s="6" t="s">
        <v>16</v>
      </c>
      <c r="B4" s="77">
        <f>SUM(B5:B7)</f>
        <v>4495.2</v>
      </c>
      <c r="C4" s="78">
        <f>SUM(C5:C7)</f>
        <v>451.6</v>
      </c>
    </row>
    <row r="5" spans="1:12" ht="30.75" customHeight="1" x14ac:dyDescent="0.4">
      <c r="A5" s="76" t="s">
        <v>9</v>
      </c>
      <c r="B5" s="81">
        <v>684.5</v>
      </c>
      <c r="C5" s="82"/>
    </row>
    <row r="6" spans="1:12" ht="30.75" customHeight="1" x14ac:dyDescent="0.4">
      <c r="A6" s="76" t="s">
        <v>10</v>
      </c>
      <c r="B6" s="83">
        <v>3810.7</v>
      </c>
      <c r="C6" s="45"/>
      <c r="K6" s="35"/>
      <c r="L6" s="50"/>
    </row>
    <row r="7" spans="1:12" ht="30.75" customHeight="1" thickBot="1" x14ac:dyDescent="0.45">
      <c r="A7" s="76" t="s">
        <v>1</v>
      </c>
      <c r="B7" s="84"/>
      <c r="C7" s="85">
        <v>451.6</v>
      </c>
      <c r="K7" s="50"/>
    </row>
    <row r="8" spans="1:12" ht="30.75" customHeight="1" x14ac:dyDescent="0.4">
      <c r="A8" s="13" t="s">
        <v>12</v>
      </c>
      <c r="B8" s="79">
        <f>+B5*B25</f>
        <v>756372.5</v>
      </c>
      <c r="C8" s="80"/>
      <c r="F8" s="50"/>
      <c r="K8" s="50"/>
    </row>
    <row r="9" spans="1:12" ht="30.75" customHeight="1" x14ac:dyDescent="0.4">
      <c r="A9" s="13" t="s">
        <v>11</v>
      </c>
      <c r="B9" s="30">
        <f>+B6*(B25/100*75)</f>
        <v>3158117.625</v>
      </c>
      <c r="C9" s="37"/>
      <c r="F9" s="50"/>
    </row>
    <row r="10" spans="1:12" ht="30.75" customHeight="1" x14ac:dyDescent="0.4">
      <c r="A10" s="13" t="s">
        <v>13</v>
      </c>
      <c r="B10" s="30"/>
      <c r="C10" s="37">
        <f>+C4*C25</f>
        <v>144688.12400000001</v>
      </c>
    </row>
    <row r="11" spans="1:12" ht="30.75" customHeight="1" thickBot="1" x14ac:dyDescent="0.45">
      <c r="A11" s="51" t="s">
        <v>15</v>
      </c>
      <c r="B11" s="86">
        <f>SUM(B8:B10)</f>
        <v>3914490.125</v>
      </c>
      <c r="C11" s="87">
        <f>SUM(C8:C10)</f>
        <v>144688.12400000001</v>
      </c>
    </row>
    <row r="12" spans="1:12" ht="30.75" customHeight="1" thickBot="1" x14ac:dyDescent="0.45">
      <c r="A12" s="76" t="s">
        <v>2</v>
      </c>
      <c r="B12" s="90">
        <v>1375</v>
      </c>
      <c r="C12" s="91">
        <v>2804</v>
      </c>
    </row>
    <row r="13" spans="1:12" ht="30.75" customHeight="1" x14ac:dyDescent="0.4">
      <c r="A13" s="51" t="s">
        <v>14</v>
      </c>
      <c r="B13" s="88">
        <f>+B12*B25</f>
        <v>1519375</v>
      </c>
      <c r="C13" s="89">
        <f>+C12*C25</f>
        <v>898373.55999999994</v>
      </c>
    </row>
    <row r="14" spans="1:12" ht="30.75" customHeight="1" x14ac:dyDescent="0.4">
      <c r="A14" s="16" t="s">
        <v>3</v>
      </c>
      <c r="B14" s="29"/>
      <c r="C14" s="36"/>
    </row>
    <row r="15" spans="1:12" ht="30.75" customHeight="1" thickBot="1" x14ac:dyDescent="0.45">
      <c r="A15" s="10" t="s">
        <v>19</v>
      </c>
      <c r="B15" s="77">
        <f>SUM(B16:B18)</f>
        <v>4560.45</v>
      </c>
      <c r="C15" s="78">
        <f>SUM(C16:C18)</f>
        <v>451.6</v>
      </c>
      <c r="D15" s="50"/>
    </row>
    <row r="16" spans="1:12" ht="30.75" customHeight="1" x14ac:dyDescent="0.4">
      <c r="A16" s="76" t="s">
        <v>9</v>
      </c>
      <c r="B16" s="81">
        <v>994.2</v>
      </c>
      <c r="C16" s="82"/>
    </row>
    <row r="17" spans="1:4" ht="30.75" customHeight="1" x14ac:dyDescent="0.4">
      <c r="A17" s="76" t="s">
        <v>10</v>
      </c>
      <c r="B17" s="83">
        <f>4560.45-B16</f>
        <v>3566.25</v>
      </c>
      <c r="C17" s="45"/>
      <c r="D17" s="50"/>
    </row>
    <row r="18" spans="1:4" ht="30.75" customHeight="1" thickBot="1" x14ac:dyDescent="0.45">
      <c r="A18" s="76" t="s">
        <v>1</v>
      </c>
      <c r="B18" s="84"/>
      <c r="C18" s="85">
        <v>451.6</v>
      </c>
      <c r="D18" s="50"/>
    </row>
    <row r="19" spans="1:4" ht="30.75" customHeight="1" x14ac:dyDescent="0.4">
      <c r="A19" s="13" t="s">
        <v>12</v>
      </c>
      <c r="B19" s="79">
        <f>+B16*B25</f>
        <v>1098591</v>
      </c>
      <c r="C19" s="92"/>
    </row>
    <row r="20" spans="1:4" ht="30.75" customHeight="1" x14ac:dyDescent="0.4">
      <c r="A20" s="13" t="s">
        <v>11</v>
      </c>
      <c r="B20" s="30">
        <f>+B17*(B25/100*75)</f>
        <v>2955529.6875</v>
      </c>
      <c r="C20" s="37"/>
    </row>
    <row r="21" spans="1:4" ht="30.75" customHeight="1" x14ac:dyDescent="0.4">
      <c r="A21" s="13" t="s">
        <v>13</v>
      </c>
      <c r="B21" s="30"/>
      <c r="C21" s="37">
        <f>+C15*C25</f>
        <v>144688.12400000001</v>
      </c>
      <c r="D21" s="50"/>
    </row>
    <row r="22" spans="1:4" ht="30.75" customHeight="1" x14ac:dyDescent="0.4">
      <c r="A22" s="51" t="s">
        <v>20</v>
      </c>
      <c r="B22" s="52">
        <f>SUM(B19:B21)</f>
        <v>4054120.6875</v>
      </c>
      <c r="C22" s="53">
        <f>SUM(C19:C21)</f>
        <v>144688.12400000001</v>
      </c>
    </row>
    <row r="23" spans="1:4" ht="30.75" customHeight="1" x14ac:dyDescent="0.4">
      <c r="A23" s="16" t="s">
        <v>4</v>
      </c>
      <c r="B23" s="32">
        <f>+(B4+B12)-(B14+B15)</f>
        <v>1309.75</v>
      </c>
      <c r="C23" s="39">
        <f>+(C4+C12)-(C14+C15)</f>
        <v>2804</v>
      </c>
    </row>
    <row r="24" spans="1:4" ht="30.75" customHeight="1" thickBot="1" x14ac:dyDescent="0.45">
      <c r="A24" s="51" t="s">
        <v>17</v>
      </c>
      <c r="B24" s="86">
        <f>+(B11+B13-B22)</f>
        <v>1379744.4375</v>
      </c>
      <c r="C24" s="87">
        <f>+(C11+C13-C22)</f>
        <v>898373.55999999982</v>
      </c>
    </row>
    <row r="25" spans="1:4" ht="30.75" customHeight="1" thickBot="1" x14ac:dyDescent="0.45">
      <c r="A25" s="93" t="s">
        <v>5</v>
      </c>
      <c r="B25" s="90">
        <v>1105</v>
      </c>
      <c r="C25" s="91">
        <v>320.39</v>
      </c>
    </row>
    <row r="26" spans="1:4" ht="30.75" customHeight="1" thickBot="1" x14ac:dyDescent="0.45">
      <c r="A26" s="22" t="s">
        <v>8</v>
      </c>
      <c r="B26" s="94">
        <f>B24/$C$1</f>
        <v>11.530592211430671</v>
      </c>
      <c r="C26" s="95">
        <f>C24/$C$1</f>
        <v>7.5077520824513142</v>
      </c>
    </row>
    <row r="27" spans="1:4" s="3" customFormat="1" ht="39.75" customHeight="1" thickBot="1" x14ac:dyDescent="0.3">
      <c r="A27" s="4" t="s">
        <v>7</v>
      </c>
      <c r="B27" s="34"/>
      <c r="C27" s="41">
        <f>+C26+B26</f>
        <v>19.038344293881984</v>
      </c>
    </row>
    <row r="30" spans="1:4" x14ac:dyDescent="0.4">
      <c r="C30" s="35">
        <f>C24+B24</f>
        <v>2278117.9974999996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ABE0-35C4-488F-9222-579779FBED59}">
  <sheetPr>
    <pageSetUpPr fitToPage="1"/>
  </sheetPr>
  <dimension ref="A1:L30"/>
  <sheetViews>
    <sheetView tabSelected="1" zoomScale="70" zoomScaleNormal="70" workbookViewId="0">
      <selection activeCell="C27" sqref="C27"/>
    </sheetView>
  </sheetViews>
  <sheetFormatPr defaultColWidth="9.140625" defaultRowHeight="24" x14ac:dyDescent="0.4"/>
  <cols>
    <col min="1" max="1" width="33.85546875" style="1" bestFit="1" customWidth="1"/>
    <col min="2" max="2" width="35.85546875" style="35" bestFit="1" customWidth="1"/>
    <col min="3" max="3" width="35.140625" style="35" bestFit="1" customWidth="1"/>
    <col min="4" max="4" width="23.28515625" style="1" bestFit="1" customWidth="1"/>
    <col min="5" max="5" width="10" style="1" customWidth="1"/>
    <col min="6" max="6" width="23.28515625" style="1" bestFit="1" customWidth="1"/>
    <col min="7" max="9" width="9.140625" style="1"/>
    <col min="10" max="10" width="25.85546875" style="1" customWidth="1"/>
    <col min="11" max="11" width="23.85546875" style="1" customWidth="1"/>
    <col min="12" max="12" width="12.85546875" style="1" bestFit="1" customWidth="1"/>
    <col min="13" max="16384" width="9.140625" style="1"/>
  </cols>
  <sheetData>
    <row r="1" spans="1:12" ht="23.25" customHeight="1" x14ac:dyDescent="0.4">
      <c r="A1" s="96" t="s">
        <v>6</v>
      </c>
      <c r="B1" s="97"/>
      <c r="C1" s="100">
        <v>200040.55900000001</v>
      </c>
    </row>
    <row r="2" spans="1:12" ht="23.25" customHeight="1" thickBot="1" x14ac:dyDescent="0.45">
      <c r="A2" s="98"/>
      <c r="B2" s="99"/>
      <c r="C2" s="101"/>
    </row>
    <row r="3" spans="1:12" s="3" customFormat="1" ht="33.75" customHeight="1" thickBot="1" x14ac:dyDescent="0.3">
      <c r="A3" s="8" t="s">
        <v>18</v>
      </c>
      <c r="B3" s="28" t="s">
        <v>0</v>
      </c>
      <c r="C3" s="28" t="s">
        <v>1</v>
      </c>
    </row>
    <row r="4" spans="1:12" ht="30.75" customHeight="1" thickBot="1" x14ac:dyDescent="0.45">
      <c r="A4" s="6" t="s">
        <v>16</v>
      </c>
      <c r="B4" s="77">
        <f>SUM(B5:B7)</f>
        <v>4560.45</v>
      </c>
      <c r="C4" s="78">
        <f>SUM(C5:C7)</f>
        <v>451.6</v>
      </c>
    </row>
    <row r="5" spans="1:12" ht="30.75" customHeight="1" x14ac:dyDescent="0.4">
      <c r="A5" s="76" t="s">
        <v>9</v>
      </c>
      <c r="B5" s="81">
        <v>994.2</v>
      </c>
      <c r="C5" s="82"/>
    </row>
    <row r="6" spans="1:12" ht="30.75" customHeight="1" x14ac:dyDescent="0.4">
      <c r="A6" s="76" t="s">
        <v>10</v>
      </c>
      <c r="B6" s="83">
        <v>3566.25</v>
      </c>
      <c r="C6" s="45"/>
      <c r="K6" s="35"/>
      <c r="L6" s="50"/>
    </row>
    <row r="7" spans="1:12" ht="30.75" customHeight="1" thickBot="1" x14ac:dyDescent="0.45">
      <c r="A7" s="76" t="s">
        <v>1</v>
      </c>
      <c r="B7" s="84"/>
      <c r="C7" s="85">
        <v>451.6</v>
      </c>
      <c r="K7" s="50"/>
    </row>
    <row r="8" spans="1:12" ht="30.75" customHeight="1" x14ac:dyDescent="0.4">
      <c r="A8" s="13" t="s">
        <v>12</v>
      </c>
      <c r="B8" s="79">
        <f>+B5*B25</f>
        <v>1134839.5320000001</v>
      </c>
      <c r="C8" s="80"/>
      <c r="F8" s="50"/>
      <c r="K8" s="50"/>
    </row>
    <row r="9" spans="1:12" ht="30.75" customHeight="1" x14ac:dyDescent="0.4">
      <c r="A9" s="13" t="s">
        <v>11</v>
      </c>
      <c r="B9" s="30">
        <f>+B6*(B25/100*75)</f>
        <v>3053048.7937500002</v>
      </c>
      <c r="C9" s="37"/>
      <c r="F9" s="50"/>
    </row>
    <row r="10" spans="1:12" ht="30.75" customHeight="1" x14ac:dyDescent="0.4">
      <c r="A10" s="13" t="s">
        <v>13</v>
      </c>
      <c r="B10" s="30"/>
      <c r="C10" s="37">
        <f>+C4*C25</f>
        <v>238467.38</v>
      </c>
    </row>
    <row r="11" spans="1:12" ht="30.75" customHeight="1" thickBot="1" x14ac:dyDescent="0.45">
      <c r="A11" s="51" t="s">
        <v>15</v>
      </c>
      <c r="B11" s="86">
        <f>SUM(B8:B10)</f>
        <v>4187888.3257500003</v>
      </c>
      <c r="C11" s="87">
        <f>SUM(C8:C10)</f>
        <v>238467.38</v>
      </c>
    </row>
    <row r="12" spans="1:12" ht="30.75" customHeight="1" thickBot="1" x14ac:dyDescent="0.45">
      <c r="A12" s="76" t="s">
        <v>2</v>
      </c>
      <c r="B12" s="90">
        <v>2618</v>
      </c>
      <c r="C12" s="91">
        <v>3101</v>
      </c>
    </row>
    <row r="13" spans="1:12" ht="30.75" customHeight="1" x14ac:dyDescent="0.4">
      <c r="A13" s="51" t="s">
        <v>14</v>
      </c>
      <c r="B13" s="88">
        <f>+B12*B25</f>
        <v>2988342.2800000003</v>
      </c>
      <c r="C13" s="89">
        <f>+C12*C25</f>
        <v>1637483.0499999998</v>
      </c>
    </row>
    <row r="14" spans="1:12" ht="30.75" customHeight="1" x14ac:dyDescent="0.4">
      <c r="A14" s="16" t="s">
        <v>3</v>
      </c>
      <c r="B14" s="29"/>
      <c r="C14" s="36"/>
    </row>
    <row r="15" spans="1:12" ht="30.75" customHeight="1" thickBot="1" x14ac:dyDescent="0.45">
      <c r="A15" s="10" t="s">
        <v>19</v>
      </c>
      <c r="B15" s="77">
        <f>SUM(B16:B18)</f>
        <v>5179.8500000000004</v>
      </c>
      <c r="C15" s="78">
        <f>SUM(C16:C18)</f>
        <v>273</v>
      </c>
      <c r="D15" s="50"/>
    </row>
    <row r="16" spans="1:12" ht="30.75" customHeight="1" x14ac:dyDescent="0.4">
      <c r="A16" s="76" t="s">
        <v>9</v>
      </c>
      <c r="B16" s="81">
        <v>985.3</v>
      </c>
      <c r="C16" s="82"/>
    </row>
    <row r="17" spans="1:4" ht="30.75" customHeight="1" x14ac:dyDescent="0.4">
      <c r="A17" s="76" t="s">
        <v>10</v>
      </c>
      <c r="B17" s="83">
        <v>4194.55</v>
      </c>
      <c r="C17" s="45">
        <v>273</v>
      </c>
      <c r="D17" s="50"/>
    </row>
    <row r="18" spans="1:4" ht="30.75" customHeight="1" thickBot="1" x14ac:dyDescent="0.45">
      <c r="A18" s="76" t="s">
        <v>1</v>
      </c>
      <c r="B18" s="84"/>
      <c r="C18" s="85"/>
      <c r="D18" s="50"/>
    </row>
    <row r="19" spans="1:4" ht="30.75" customHeight="1" x14ac:dyDescent="0.4">
      <c r="A19" s="13" t="s">
        <v>12</v>
      </c>
      <c r="B19" s="79">
        <f>+B16*B25</f>
        <v>1124680.5379999999</v>
      </c>
      <c r="C19" s="92"/>
    </row>
    <row r="20" spans="1:4" ht="30.75" customHeight="1" x14ac:dyDescent="0.4">
      <c r="A20" s="13" t="s">
        <v>11</v>
      </c>
      <c r="B20" s="30">
        <f>+B17*(B25/100*75)</f>
        <v>3590933.2822500002</v>
      </c>
      <c r="C20" s="37"/>
    </row>
    <row r="21" spans="1:4" ht="30.75" customHeight="1" x14ac:dyDescent="0.4">
      <c r="A21" s="13" t="s">
        <v>13</v>
      </c>
      <c r="B21" s="30"/>
      <c r="C21" s="37">
        <f>+C15*C25</f>
        <v>144157.65</v>
      </c>
      <c r="D21" s="50"/>
    </row>
    <row r="22" spans="1:4" ht="30.75" customHeight="1" x14ac:dyDescent="0.4">
      <c r="A22" s="51" t="s">
        <v>20</v>
      </c>
      <c r="B22" s="52">
        <f>SUM(B19:B21)</f>
        <v>4715613.8202499999</v>
      </c>
      <c r="C22" s="53">
        <f>SUM(C19:C21)</f>
        <v>144157.65</v>
      </c>
    </row>
    <row r="23" spans="1:4" ht="30.75" customHeight="1" x14ac:dyDescent="0.4">
      <c r="A23" s="16" t="s">
        <v>4</v>
      </c>
      <c r="B23" s="32">
        <f>+(B4+B12)-(B14+B15)</f>
        <v>1998.5999999999995</v>
      </c>
      <c r="C23" s="39">
        <f>+(C4+C12)-(C14+C15)</f>
        <v>3279.6</v>
      </c>
    </row>
    <row r="24" spans="1:4" ht="30.75" customHeight="1" thickBot="1" x14ac:dyDescent="0.45">
      <c r="A24" s="51" t="s">
        <v>17</v>
      </c>
      <c r="B24" s="86">
        <f>+(B11+B13-B22)</f>
        <v>2460616.7855000002</v>
      </c>
      <c r="C24" s="87">
        <f>+(C11+C13-C22)</f>
        <v>1731792.7799999998</v>
      </c>
    </row>
    <row r="25" spans="1:4" ht="30.75" customHeight="1" thickBot="1" x14ac:dyDescent="0.45">
      <c r="A25" s="93" t="s">
        <v>5</v>
      </c>
      <c r="B25" s="90">
        <v>1141.46</v>
      </c>
      <c r="C25" s="91">
        <v>528.04999999999995</v>
      </c>
    </row>
    <row r="26" spans="1:4" ht="30.75" customHeight="1" thickBot="1" x14ac:dyDescent="0.45">
      <c r="A26" s="22" t="s">
        <v>8</v>
      </c>
      <c r="B26" s="94">
        <f>B24/$C$1</f>
        <v>12.300589429466651</v>
      </c>
      <c r="C26" s="95">
        <f>C24/$C$1</f>
        <v>8.6572082614506183</v>
      </c>
    </row>
    <row r="27" spans="1:4" s="3" customFormat="1" ht="39.75" customHeight="1" thickBot="1" x14ac:dyDescent="0.3">
      <c r="A27" s="4" t="s">
        <v>7</v>
      </c>
      <c r="B27" s="34"/>
      <c r="C27" s="41">
        <f>+C26+B26</f>
        <v>20.957797690917268</v>
      </c>
    </row>
    <row r="30" spans="1:4" x14ac:dyDescent="0.4">
      <c r="C30" s="35">
        <f>C24+B24</f>
        <v>4192409.5655</v>
      </c>
    </row>
  </sheetData>
  <mergeCells count="2">
    <mergeCell ref="A1:B2"/>
    <mergeCell ref="C1:C2"/>
  </mergeCells>
  <pageMargins left="0.49" right="0.3" top="0.17" bottom="0.24" header="0.18" footer="0.3"/>
  <pageSetup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JANUARY</vt:lpstr>
      <vt:lpstr>FEBRUARY</vt:lpstr>
      <vt:lpstr>MARCH</vt:lpstr>
      <vt:lpstr>APRIL</vt:lpstr>
      <vt:lpstr>MAY</vt:lpstr>
      <vt:lpstr>JUNE</vt:lpstr>
      <vt:lpstr>July</vt:lpstr>
      <vt:lpstr>Aug</vt:lpstr>
      <vt:lpstr>Aug Sohail sab</vt:lpstr>
      <vt:lpstr>Sep Sohail sb</vt:lpstr>
      <vt:lpstr>Oct Sohail sb</vt:lpstr>
      <vt:lpstr>Summary</vt:lpstr>
      <vt:lpstr>January 2026</vt:lpstr>
      <vt:lpstr>March 2026</vt:lpstr>
      <vt:lpstr>April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faizanchaudhary</dc:creator>
  <cp:lastModifiedBy>Faizan</cp:lastModifiedBy>
  <dcterms:created xsi:type="dcterms:W3CDTF">2025-02-10T07:26:05Z</dcterms:created>
  <dcterms:modified xsi:type="dcterms:W3CDTF">2026-05-09T07:48:25Z</dcterms:modified>
</cp:coreProperties>
</file>